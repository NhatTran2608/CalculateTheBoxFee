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0" windowWidth="9096" windowHeight="5556" tabRatio="880" activeTab="1"/>
  </bookViews>
  <sheets>
    <sheet name="BG - Hộp Sóng Nắp Cài Pizza" sheetId="10" r:id="rId1"/>
    <sheet name="Bảng tính giá Tổng hợp" sheetId="3" r:id="rId2"/>
    <sheet name="Bảng giá giấy" sheetId="4" r:id="rId3"/>
  </sheets>
  <definedNames>
    <definedName name="Chat_lieu">OFFSET('Bảng giá giấy'!$B$3,MATCH('Bảng tính giá Tổng hợp'!A1&amp;"*",Ma_Giay,0)-1,0,COUNTIF(Ma_Giay,'Bảng tính giá Tổng hợp'!A1&amp;"*"),1)</definedName>
    <definedName name="Ma_Giay">OFFSET('Bảng giá giấy'!$B$3,0,0,COUNTA('Bảng giá giấy'!$B:$B)-2,1)</definedName>
  </definedNames>
  <calcPr calcId="125725" iterate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8" i="10"/>
  <c r="AQ123" s="1"/>
  <c r="AF26"/>
  <c r="AQ120" s="1"/>
  <c r="AF24"/>
  <c r="AK63"/>
  <c r="AK61"/>
  <c r="AK54"/>
  <c r="AK52"/>
  <c r="AK45"/>
  <c r="AK43"/>
  <c r="AK39"/>
  <c r="AK37"/>
  <c r="AS13" l="1"/>
  <c r="AQ122"/>
  <c r="D6" i="4" l="1"/>
  <c r="AG9" i="10"/>
  <c r="AM7" s="1"/>
  <c r="B9"/>
  <c r="K10" s="1"/>
  <c r="AO20"/>
  <c r="AO19"/>
  <c r="J20"/>
  <c r="J19"/>
  <c r="K4"/>
  <c r="I4"/>
  <c r="H4"/>
  <c r="G4"/>
  <c r="B7"/>
  <c r="I99" s="1"/>
  <c r="I71"/>
  <c r="AN71" s="1"/>
  <c r="AM18"/>
  <c r="AN18"/>
  <c r="AM17"/>
  <c r="AN17"/>
  <c r="AM16"/>
  <c r="AN16"/>
  <c r="AM15"/>
  <c r="AN15"/>
  <c r="AL18"/>
  <c r="AO18" s="1"/>
  <c r="AL17"/>
  <c r="AL16"/>
  <c r="AL15"/>
  <c r="AG21"/>
  <c r="AQ112" s="1"/>
  <c r="AH18"/>
  <c r="AG18"/>
  <c r="AQ111" s="1"/>
  <c r="AH17"/>
  <c r="AG17"/>
  <c r="AN104" s="1"/>
  <c r="AH16"/>
  <c r="AG16"/>
  <c r="AH15"/>
  <c r="AG15"/>
  <c r="AQ102" s="1"/>
  <c r="AG14"/>
  <c r="AG13"/>
  <c r="AG10"/>
  <c r="AS10" s="1"/>
  <c r="AN96" s="1"/>
  <c r="AQ7"/>
  <c r="AG6"/>
  <c r="AG5"/>
  <c r="AL10" s="1"/>
  <c r="AN94" s="1"/>
  <c r="AG4"/>
  <c r="AG3"/>
  <c r="AN4"/>
  <c r="H18"/>
  <c r="I18"/>
  <c r="H17"/>
  <c r="I17"/>
  <c r="H16"/>
  <c r="I16"/>
  <c r="H15"/>
  <c r="I15"/>
  <c r="G18"/>
  <c r="G17"/>
  <c r="G16"/>
  <c r="G15"/>
  <c r="B21"/>
  <c r="C18"/>
  <c r="B18"/>
  <c r="I111" s="1"/>
  <c r="C17"/>
  <c r="B17"/>
  <c r="I104" s="1"/>
  <c r="C16"/>
  <c r="B16"/>
  <c r="I109" s="1"/>
  <c r="C15"/>
  <c r="B15"/>
  <c r="L108" s="1"/>
  <c r="B14"/>
  <c r="B13"/>
  <c r="L116" s="1"/>
  <c r="B12"/>
  <c r="L95" s="1"/>
  <c r="B11"/>
  <c r="G91" s="1"/>
  <c r="G93" s="1"/>
  <c r="B10"/>
  <c r="N10" s="1"/>
  <c r="I96" s="1"/>
  <c r="L7"/>
  <c r="G90" s="1"/>
  <c r="G92" s="1"/>
  <c r="B6"/>
  <c r="G83" s="1"/>
  <c r="B5"/>
  <c r="G10" s="1"/>
  <c r="I94" s="1"/>
  <c r="B4"/>
  <c r="B3"/>
  <c r="G113" s="1"/>
  <c r="L113" s="1"/>
  <c r="AN114"/>
  <c r="AQ114"/>
  <c r="I114"/>
  <c r="L114"/>
  <c r="AQ107"/>
  <c r="AN107"/>
  <c r="L107"/>
  <c r="I107"/>
  <c r="AQ106"/>
  <c r="AN106"/>
  <c r="L106"/>
  <c r="I106"/>
  <c r="AN99"/>
  <c r="AQ95"/>
  <c r="AL91"/>
  <c r="AL93"/>
  <c r="D29" i="4"/>
  <c r="H7" i="10"/>
  <c r="D31" i="4"/>
  <c r="D49"/>
  <c r="D46"/>
  <c r="D43"/>
  <c r="D42"/>
  <c r="D41"/>
  <c r="D40"/>
  <c r="D39"/>
  <c r="D37"/>
  <c r="D33"/>
  <c r="D32"/>
  <c r="D30"/>
  <c r="D14"/>
  <c r="D12"/>
  <c r="D11"/>
  <c r="D10"/>
  <c r="D9"/>
  <c r="D8"/>
  <c r="D7"/>
  <c r="D5"/>
  <c r="I98" i="10" l="1"/>
  <c r="AP10"/>
  <c r="M4"/>
  <c r="D74" s="1"/>
  <c r="D88" s="1"/>
  <c r="D97" s="1"/>
  <c r="N4"/>
  <c r="AN98"/>
  <c r="AL113"/>
  <c r="AL124"/>
  <c r="AL120"/>
  <c r="AL122"/>
  <c r="J10"/>
  <c r="J18"/>
  <c r="G81"/>
  <c r="AN110"/>
  <c r="L102"/>
  <c r="AQ108"/>
  <c r="AN112"/>
  <c r="AN108"/>
  <c r="AQ110"/>
  <c r="AO16"/>
  <c r="F10"/>
  <c r="I101" s="1"/>
  <c r="AL99"/>
  <c r="AQ99" s="1"/>
  <c r="J15"/>
  <c r="L103"/>
  <c r="I103"/>
  <c r="AN102"/>
  <c r="L109"/>
  <c r="J17"/>
  <c r="I116"/>
  <c r="I105"/>
  <c r="C6"/>
  <c r="I100" s="1"/>
  <c r="L100" s="1"/>
  <c r="L105"/>
  <c r="AQ105"/>
  <c r="E74"/>
  <c r="E78" s="1"/>
  <c r="G99"/>
  <c r="L99" s="1"/>
  <c r="J16"/>
  <c r="AL90"/>
  <c r="AL92" s="1"/>
  <c r="AO17"/>
  <c r="AQ113"/>
  <c r="AO15"/>
  <c r="AK10"/>
  <c r="AN101" s="1"/>
  <c r="I102"/>
  <c r="G85"/>
  <c r="AN111"/>
  <c r="G80"/>
  <c r="L110"/>
  <c r="G86"/>
  <c r="L111"/>
  <c r="F7"/>
  <c r="G77"/>
  <c r="G78"/>
  <c r="AH6"/>
  <c r="AN7" s="1"/>
  <c r="AL97" s="1"/>
  <c r="AL98" s="1"/>
  <c r="AL84"/>
  <c r="AL80"/>
  <c r="AL77"/>
  <c r="AL76"/>
  <c r="AQ117"/>
  <c r="AL85"/>
  <c r="AQ109"/>
  <c r="AQ103"/>
  <c r="AN109"/>
  <c r="L104"/>
  <c r="I110"/>
  <c r="AL83"/>
  <c r="G84"/>
  <c r="G82"/>
  <c r="G75"/>
  <c r="G76"/>
  <c r="G79"/>
  <c r="I112"/>
  <c r="L112"/>
  <c r="AL111"/>
  <c r="AN105"/>
  <c r="AL79"/>
  <c r="AL74"/>
  <c r="AN103"/>
  <c r="AN116"/>
  <c r="AQ116"/>
  <c r="AL81"/>
  <c r="AL78"/>
  <c r="AL117"/>
  <c r="AM4"/>
  <c r="AL82"/>
  <c r="AL86"/>
  <c r="I108"/>
  <c r="AQ104"/>
  <c r="AL4"/>
  <c r="AK7"/>
  <c r="AO10"/>
  <c r="G111"/>
  <c r="E82" l="1"/>
  <c r="E85" s="1"/>
  <c r="E75"/>
  <c r="D81" s="1"/>
  <c r="E77"/>
  <c r="D84" s="1"/>
  <c r="AM58"/>
  <c r="AM34"/>
  <c r="AN120"/>
  <c r="AN124"/>
  <c r="AQ124" s="1"/>
  <c r="AN122"/>
  <c r="AN58"/>
  <c r="AN34"/>
  <c r="D75"/>
  <c r="I7"/>
  <c r="G97" s="1"/>
  <c r="G98" s="1"/>
  <c r="E88"/>
  <c r="E97" s="1"/>
  <c r="D77"/>
  <c r="E76"/>
  <c r="D82" s="1"/>
  <c r="D78"/>
  <c r="L78" s="1"/>
  <c r="E81"/>
  <c r="E84"/>
  <c r="D85"/>
  <c r="D76"/>
  <c r="G7"/>
  <c r="AI74"/>
  <c r="AL7"/>
  <c r="AL88" s="1"/>
  <c r="AN100"/>
  <c r="AQ100" s="1"/>
  <c r="AJ74"/>
  <c r="D79" l="1"/>
  <c r="L75"/>
  <c r="L85"/>
  <c r="E80"/>
  <c r="L77"/>
  <c r="D83"/>
  <c r="L82"/>
  <c r="AM59"/>
  <c r="AP61" s="1"/>
  <c r="K7"/>
  <c r="D91" s="1"/>
  <c r="AM49"/>
  <c r="AM35"/>
  <c r="AN35"/>
  <c r="AN49"/>
  <c r="AN59"/>
  <c r="L97"/>
  <c r="D20" i="3"/>
  <c r="C20"/>
  <c r="E79" i="10"/>
  <c r="E83" s="1"/>
  <c r="E86" s="1"/>
  <c r="D80"/>
  <c r="L76"/>
  <c r="L81"/>
  <c r="AL75"/>
  <c r="G110"/>
  <c r="G88"/>
  <c r="G109"/>
  <c r="G74"/>
  <c r="L74" s="1"/>
  <c r="G108"/>
  <c r="AL89"/>
  <c r="O21" i="3" s="1"/>
  <c r="AL101" i="10"/>
  <c r="AQ101" s="1"/>
  <c r="AL94"/>
  <c r="AL112" s="1"/>
  <c r="AL95"/>
  <c r="AL96"/>
  <c r="AL116"/>
  <c r="AL110"/>
  <c r="AL108"/>
  <c r="AL109"/>
  <c r="L84"/>
  <c r="D86"/>
  <c r="AJ75"/>
  <c r="AI78"/>
  <c r="AJ82"/>
  <c r="AJ85" s="1"/>
  <c r="AQ74"/>
  <c r="AJ77"/>
  <c r="AI76"/>
  <c r="AJ83"/>
  <c r="AJ86" s="1"/>
  <c r="AJ76"/>
  <c r="AI77"/>
  <c r="AI75"/>
  <c r="AJ78"/>
  <c r="L80" l="1"/>
  <c r="AP63"/>
  <c r="AM64" s="1"/>
  <c r="AN50"/>
  <c r="AQ52" s="1"/>
  <c r="AQ61"/>
  <c r="AR61" s="1"/>
  <c r="AQ63"/>
  <c r="AN64" s="1"/>
  <c r="AQ45"/>
  <c r="AN46" s="1"/>
  <c r="AQ37"/>
  <c r="AN38" s="1"/>
  <c r="AQ43"/>
  <c r="AN44" s="1"/>
  <c r="AP39"/>
  <c r="AM50"/>
  <c r="AP43"/>
  <c r="AP37"/>
  <c r="AQ39"/>
  <c r="AP45"/>
  <c r="AR45" s="1"/>
  <c r="AM62"/>
  <c r="AP62" s="1"/>
  <c r="I10"/>
  <c r="I12"/>
  <c r="C21" i="3"/>
  <c r="D89" i="10" s="1"/>
  <c r="L86"/>
  <c r="D90"/>
  <c r="E91" s="1"/>
  <c r="L91" s="1"/>
  <c r="H12"/>
  <c r="H10"/>
  <c r="L79"/>
  <c r="L83"/>
  <c r="AQ77"/>
  <c r="AQ78"/>
  <c r="G89"/>
  <c r="E21" i="3" s="1"/>
  <c r="G96" i="10"/>
  <c r="G116"/>
  <c r="G94"/>
  <c r="G112" s="1"/>
  <c r="G95"/>
  <c r="G101"/>
  <c r="L101" s="1"/>
  <c r="AI86"/>
  <c r="AQ86" s="1"/>
  <c r="AI84"/>
  <c r="AJ80"/>
  <c r="AJ79"/>
  <c r="AI80"/>
  <c r="AI82"/>
  <c r="AQ82" s="1"/>
  <c r="AQ75"/>
  <c r="AI88"/>
  <c r="AQ76"/>
  <c r="AJ81"/>
  <c r="AI85"/>
  <c r="AQ85" s="1"/>
  <c r="AJ84"/>
  <c r="AI79"/>
  <c r="AI81"/>
  <c r="AI83"/>
  <c r="AQ83" s="1"/>
  <c r="AJ88"/>
  <c r="AR43" l="1"/>
  <c r="AM46"/>
  <c r="AP46" s="1"/>
  <c r="AQ54"/>
  <c r="AN55" s="1"/>
  <c r="AM44"/>
  <c r="AP44" s="1"/>
  <c r="AN62"/>
  <c r="AQ62" s="1"/>
  <c r="AR62" s="1"/>
  <c r="AS61" s="1"/>
  <c r="AI61" s="1"/>
  <c r="AO40"/>
  <c r="AN40"/>
  <c r="AR63"/>
  <c r="AP64"/>
  <c r="AQ64"/>
  <c r="AP54"/>
  <c r="AP52"/>
  <c r="AM53" s="1"/>
  <c r="AP53" s="1"/>
  <c r="AN53"/>
  <c r="AQ53" s="1"/>
  <c r="AM40"/>
  <c r="AR39"/>
  <c r="AR37"/>
  <c r="AM38"/>
  <c r="AO38"/>
  <c r="I92"/>
  <c r="L92" s="1"/>
  <c r="I93"/>
  <c r="L93" s="1"/>
  <c r="D21" i="3"/>
  <c r="E89" i="10" s="1"/>
  <c r="L89" s="1"/>
  <c r="E90"/>
  <c r="L90" s="1"/>
  <c r="AQ81"/>
  <c r="AQ84"/>
  <c r="AQ79"/>
  <c r="AQ80"/>
  <c r="L88"/>
  <c r="N20" i="3"/>
  <c r="AJ97" i="10"/>
  <c r="AI97"/>
  <c r="M20" i="3"/>
  <c r="AR44" i="10" l="1"/>
  <c r="AS43" s="1"/>
  <c r="AI43" s="1"/>
  <c r="AQ46"/>
  <c r="AR46" s="1"/>
  <c r="AS45" s="1"/>
  <c r="AI45" s="1"/>
  <c r="AQ44"/>
  <c r="AQ40"/>
  <c r="AP40"/>
  <c r="AR53"/>
  <c r="AR52"/>
  <c r="AP38"/>
  <c r="AQ38"/>
  <c r="AM55"/>
  <c r="AR54"/>
  <c r="AR64"/>
  <c r="AS63" s="1"/>
  <c r="AI63" s="1"/>
  <c r="AI65" s="1" a="1"/>
  <c r="AI65" s="1"/>
  <c r="L115"/>
  <c r="D94"/>
  <c r="E94"/>
  <c r="M21" i="3"/>
  <c r="N21" s="1"/>
  <c r="AJ89" i="10" s="1"/>
  <c r="AQ97"/>
  <c r="AI47" l="1" a="1"/>
  <c r="AI47" s="1"/>
  <c r="AQ121" s="1"/>
  <c r="AR38"/>
  <c r="AS37" s="1"/>
  <c r="AI37" s="1"/>
  <c r="AP55"/>
  <c r="AQ55"/>
  <c r="AS65"/>
  <c r="AJ65"/>
  <c r="AR40"/>
  <c r="AS39" s="1"/>
  <c r="AI39" s="1"/>
  <c r="AS52"/>
  <c r="AI52" s="1"/>
  <c r="AI89"/>
  <c r="AQ89" s="1"/>
  <c r="E95"/>
  <c r="E98"/>
  <c r="E96"/>
  <c r="D95"/>
  <c r="D96"/>
  <c r="D98"/>
  <c r="L94"/>
  <c r="AJ47" l="1"/>
  <c r="AS47"/>
  <c r="AI41" a="1"/>
  <c r="AI41" s="1"/>
  <c r="AS41" s="1"/>
  <c r="AR55"/>
  <c r="AS54" s="1"/>
  <c r="AI54" s="1"/>
  <c r="AI56" s="1" a="1"/>
  <c r="AI56" s="1"/>
  <c r="AQ115"/>
  <c r="AI94"/>
  <c r="AJ94"/>
  <c r="AQ88"/>
  <c r="L98"/>
  <c r="L96"/>
  <c r="AQ119" l="1"/>
  <c r="AJ41"/>
  <c r="AJ56"/>
  <c r="AS56"/>
  <c r="L70"/>
  <c r="L71" s="1"/>
  <c r="L72" s="1"/>
  <c r="D3" s="1"/>
  <c r="AI95"/>
  <c r="AI96"/>
  <c r="AI98"/>
  <c r="AQ94"/>
  <c r="AJ95"/>
  <c r="AJ96"/>
  <c r="AJ98"/>
  <c r="AQ96" l="1"/>
  <c r="E6" i="3"/>
  <c r="AQ98" i="10"/>
  <c r="H4" i="3"/>
  <c r="O6"/>
  <c r="AI3" i="10"/>
  <c r="AP7"/>
  <c r="AM10"/>
  <c r="AN10"/>
  <c r="AM12"/>
  <c r="AN12"/>
  <c r="AQ70"/>
  <c r="AQ71"/>
  <c r="AQ72"/>
  <c r="AI90"/>
  <c r="AJ90"/>
  <c r="AQ90"/>
  <c r="AI91"/>
  <c r="AJ91"/>
  <c r="AQ91"/>
  <c r="AN92"/>
  <c r="AQ92"/>
  <c r="AN93"/>
  <c r="AQ93"/>
</calcChain>
</file>

<file path=xl/sharedStrings.xml><?xml version="1.0" encoding="utf-8"?>
<sst xmlns="http://schemas.openxmlformats.org/spreadsheetml/2006/main" count="417" uniqueCount="189">
  <si>
    <t>Kẽm</t>
  </si>
  <si>
    <t>Cán</t>
  </si>
  <si>
    <t>Thùng</t>
  </si>
  <si>
    <t>Số lượng</t>
  </si>
  <si>
    <t>Vận chuyển</t>
  </si>
  <si>
    <t>Bù hao</t>
  </si>
  <si>
    <t>Kích thước</t>
  </si>
  <si>
    <t>Dài</t>
  </si>
  <si>
    <t>Rộng</t>
  </si>
  <si>
    <t>Cao</t>
  </si>
  <si>
    <t>Giá in</t>
  </si>
  <si>
    <t>Bảng giá Giấy</t>
  </si>
  <si>
    <t>C80</t>
  </si>
  <si>
    <t>C100</t>
  </si>
  <si>
    <t>C120</t>
  </si>
  <si>
    <t>C140</t>
  </si>
  <si>
    <t>C180</t>
  </si>
  <si>
    <t>C200</t>
  </si>
  <si>
    <t>C230</t>
  </si>
  <si>
    <t>C250</t>
  </si>
  <si>
    <t>C300</t>
  </si>
  <si>
    <t>I210</t>
  </si>
  <si>
    <t>I230</t>
  </si>
  <si>
    <t>I250</t>
  </si>
  <si>
    <t>I280</t>
  </si>
  <si>
    <t>I300</t>
  </si>
  <si>
    <t>I350</t>
  </si>
  <si>
    <t>I400</t>
  </si>
  <si>
    <t>Mã giấy</t>
  </si>
  <si>
    <t>Tên giấy</t>
  </si>
  <si>
    <t>Giá</t>
  </si>
  <si>
    <t>D250</t>
  </si>
  <si>
    <t>D300</t>
  </si>
  <si>
    <t>D350</t>
  </si>
  <si>
    <t>D400</t>
  </si>
  <si>
    <t>Op80</t>
  </si>
  <si>
    <t>Op100</t>
  </si>
  <si>
    <t>Op70</t>
  </si>
  <si>
    <t>Op120</t>
  </si>
  <si>
    <t>Op140</t>
  </si>
  <si>
    <t>Op150</t>
  </si>
  <si>
    <t>Op200</t>
  </si>
  <si>
    <t>Op250</t>
  </si>
  <si>
    <t>C-P350</t>
  </si>
  <si>
    <t>C-P300</t>
  </si>
  <si>
    <t>K-T120</t>
  </si>
  <si>
    <t>C150</t>
  </si>
  <si>
    <t>Op180</t>
  </si>
  <si>
    <t>Chất liệu</t>
  </si>
  <si>
    <t>Nới xén</t>
  </si>
  <si>
    <t>Định lượng  giấy</t>
  </si>
  <si>
    <t>Giá giấy</t>
  </si>
  <si>
    <t>Máy in</t>
  </si>
  <si>
    <t>Số màu</t>
  </si>
  <si>
    <t>Nội dung</t>
  </si>
  <si>
    <t>Giá lượt</t>
  </si>
  <si>
    <t>Mờ</t>
  </si>
  <si>
    <t>Giá cán</t>
  </si>
  <si>
    <t>Gia công</t>
  </si>
  <si>
    <t>Cái/Thùng</t>
  </si>
  <si>
    <t>Khuôn bế</t>
  </si>
  <si>
    <t>Tổng sản xuất</t>
  </si>
  <si>
    <t>Lãi suất</t>
  </si>
  <si>
    <t>Tổng sau lãi</t>
  </si>
  <si>
    <t>Đơn giá</t>
  </si>
  <si>
    <t>Định lượng</t>
  </si>
  <si>
    <t>Tai cài</t>
  </si>
  <si>
    <t>Số bát</t>
  </si>
  <si>
    <t>Giấy 1x1</t>
  </si>
  <si>
    <t>Giấy 1x2</t>
  </si>
  <si>
    <t>Giấy 1x3</t>
  </si>
  <si>
    <t>Giấy 2x2</t>
  </si>
  <si>
    <t>Giấy 2x3</t>
  </si>
  <si>
    <t>Giấy 3x3</t>
  </si>
  <si>
    <t>Giấy 3x4</t>
  </si>
  <si>
    <t>Giấy 2x4</t>
  </si>
  <si>
    <t>Giấy 1x2 Ngang</t>
  </si>
  <si>
    <t>Giấy 1x3 Ngang</t>
  </si>
  <si>
    <t>Metalize</t>
  </si>
  <si>
    <t>Ép nhũ 1</t>
  </si>
  <si>
    <t>Ép nhũ 2</t>
  </si>
  <si>
    <t>Ép nhũ 3</t>
  </si>
  <si>
    <t>Thúc nổi 1</t>
  </si>
  <si>
    <t>Thúc nổi 2</t>
  </si>
  <si>
    <t>Thúc nổi 3</t>
  </si>
  <si>
    <t>UV</t>
  </si>
  <si>
    <t>Khuôn Ép nhũ 1</t>
  </si>
  <si>
    <t>Khuôn Ép nhũ 2</t>
  </si>
  <si>
    <t>Khuôn Ép nhũ 3</t>
  </si>
  <si>
    <t>Khuôn Thúc 1</t>
  </si>
  <si>
    <t>Khuôn Thúc 2</t>
  </si>
  <si>
    <t>Khuôn Thúc 3</t>
  </si>
  <si>
    <t>1 Mặt</t>
  </si>
  <si>
    <t>Thúc nổi</t>
  </si>
  <si>
    <t>Giá Metalize</t>
  </si>
  <si>
    <t>Ghép Màng Metalize</t>
  </si>
  <si>
    <t>Số vị trí</t>
  </si>
  <si>
    <t>Ghép Metalize</t>
  </si>
  <si>
    <t>Giá thành</t>
  </si>
  <si>
    <t>Chất liệu giấy</t>
  </si>
  <si>
    <t>K-VT170</t>
  </si>
  <si>
    <t>K-VT250</t>
  </si>
  <si>
    <t>Xả lô</t>
  </si>
  <si>
    <t>Công xả lô</t>
  </si>
  <si>
    <t>Dây xách</t>
  </si>
  <si>
    <t>Màu</t>
  </si>
  <si>
    <t>In Mặt trong</t>
  </si>
  <si>
    <t>Kẽm Mặt trong</t>
  </si>
  <si>
    <t>Cán Mặt trong</t>
  </si>
  <si>
    <t>Bồi</t>
  </si>
  <si>
    <t>Sóng E Nâu</t>
  </si>
  <si>
    <t>Sóng E Trắng</t>
  </si>
  <si>
    <t>Sóng B Nâu</t>
  </si>
  <si>
    <t>Sóng B Trắng</t>
  </si>
  <si>
    <t>Giá Bồi</t>
  </si>
  <si>
    <t>Định lượng bồi</t>
  </si>
  <si>
    <t>Bù hao bồi</t>
  </si>
  <si>
    <t>Không</t>
  </si>
  <si>
    <t>Giá Giấy Bồi</t>
  </si>
  <si>
    <t>Giấy Bồi</t>
  </si>
  <si>
    <t>Công bồi</t>
  </si>
  <si>
    <t>Lăn Vân</t>
  </si>
  <si>
    <t>Giấy xả lô</t>
  </si>
  <si>
    <t>Giấy khổ chuẩn</t>
  </si>
  <si>
    <t>Nhỏ hơn</t>
  </si>
  <si>
    <t>Lớn hơn</t>
  </si>
  <si>
    <t>LƯU Ý</t>
  </si>
  <si>
    <t>In Offset</t>
  </si>
  <si>
    <t>Lưới UV</t>
  </si>
  <si>
    <t>In Offset UV</t>
  </si>
  <si>
    <t>Giá in mặt trong</t>
  </si>
  <si>
    <t>Giấy 2x3 Ngang</t>
  </si>
  <si>
    <t>Thành</t>
  </si>
  <si>
    <t>Bù</t>
  </si>
  <si>
    <t>1x1</t>
  </si>
  <si>
    <t>Số bát/tờ in</t>
  </si>
  <si>
    <t>i300</t>
  </si>
  <si>
    <t>Nhập Khổ chuẩn</t>
  </si>
  <si>
    <t>Kích thước khuôn</t>
  </si>
  <si>
    <t>NẮP</t>
  </si>
  <si>
    <t>KHAY ĐỊNH HÌNH</t>
  </si>
  <si>
    <t>Không Khay</t>
  </si>
  <si>
    <t>1x2</t>
  </si>
  <si>
    <t>Thùng Cao Su</t>
  </si>
  <si>
    <t>Thùng Đựng Khay Cao Su</t>
  </si>
  <si>
    <t>Xốp Foam</t>
  </si>
  <si>
    <t>cm</t>
  </si>
  <si>
    <t>Bù xén Cao su/Foam</t>
  </si>
  <si>
    <t>Cao Su non</t>
  </si>
  <si>
    <t>Nhung</t>
  </si>
  <si>
    <t>Khay Cao Su non</t>
  </si>
  <si>
    <t>Khay Xốp Foam</t>
  </si>
  <si>
    <t>Hộp Sóng - Nắp cài Pizza</t>
  </si>
  <si>
    <t>Bảng giá Hộp Sóng - Nắp Cài Pizza</t>
  </si>
  <si>
    <t>Cm2</t>
  </si>
  <si>
    <t>Carton 1.8</t>
  </si>
  <si>
    <t>Carton 2.0</t>
  </si>
  <si>
    <t>Carton 2.2</t>
  </si>
  <si>
    <t>Carton 2.4</t>
  </si>
  <si>
    <t>Carton 3.0</t>
  </si>
  <si>
    <t>Carton 1.5</t>
  </si>
  <si>
    <t>Rẻ nhất</t>
  </si>
  <si>
    <t>Liền</t>
  </si>
  <si>
    <t>SL Carton</t>
  </si>
  <si>
    <t>Khổ thừa</t>
  </si>
  <si>
    <t>Thừa</t>
  </si>
  <si>
    <t>Giấy 2x4 Ngang</t>
  </si>
  <si>
    <t>Giấy 3x4 Ngang</t>
  </si>
  <si>
    <t>Cần kiểm tra</t>
  </si>
  <si>
    <t>Kt Carton Thân</t>
  </si>
  <si>
    <t>2m = 1 Pha</t>
  </si>
  <si>
    <t>1.22x2.44</t>
  </si>
  <si>
    <t>Cao su non</t>
  </si>
  <si>
    <t>Vải</t>
  </si>
  <si>
    <t>1.5x1</t>
  </si>
  <si>
    <t>1x1.5</t>
  </si>
  <si>
    <t>Tổng tiền Xốp Foam</t>
  </si>
  <si>
    <t>Công bế Xốp Foam</t>
  </si>
  <si>
    <t>Tổng tiền Cao Su non</t>
  </si>
  <si>
    <t>Công bế Cao Su non</t>
  </si>
  <si>
    <t>Tổng tiền Vải hoặc Nhung</t>
  </si>
  <si>
    <t>Công bồi Vải hoặc Nhung</t>
  </si>
  <si>
    <t>Bù hao khay</t>
  </si>
  <si>
    <t>Carton 1.6</t>
  </si>
  <si>
    <t>Carton 2.8</t>
  </si>
  <si>
    <t>Carton 1.8 Trắng</t>
  </si>
  <si>
    <t>Carton 2.0 Trắng</t>
  </si>
  <si>
    <t>Carton 2.2 Trắng</t>
  </si>
  <si>
    <t>Carton 2.4 Trắng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</si>
</sst>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3"/>
      <color rgb="FFFFFF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rgb="FF7030A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1" fillId="0" borderId="0" xfId="0" applyFont="1"/>
    <xf numFmtId="0" fontId="1" fillId="0" borderId="0" xfId="0" applyFont="1" applyFill="1"/>
    <xf numFmtId="3" fontId="0" fillId="0" borderId="0" xfId="0" applyNumberFormat="1"/>
    <xf numFmtId="4" fontId="0" fillId="0" borderId="0" xfId="0" applyNumberFormat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3" fontId="0" fillId="3" borderId="0" xfId="0" applyNumberFormat="1" applyFill="1"/>
    <xf numFmtId="9" fontId="0" fillId="3" borderId="0" xfId="0" applyNumberFormat="1" applyFill="1"/>
    <xf numFmtId="0" fontId="0" fillId="6" borderId="0" xfId="0" applyFill="1"/>
    <xf numFmtId="0" fontId="0" fillId="0" borderId="0" xfId="0" applyFill="1"/>
    <xf numFmtId="3" fontId="0" fillId="0" borderId="0" xfId="0" applyNumberFormat="1" applyFill="1"/>
    <xf numFmtId="4" fontId="0" fillId="0" borderId="0" xfId="0" applyNumberFormat="1" applyFill="1"/>
    <xf numFmtId="0" fontId="7" fillId="0" borderId="0" xfId="0" applyFont="1"/>
    <xf numFmtId="3" fontId="4" fillId="3" borderId="0" xfId="0" applyNumberFormat="1" applyFont="1" applyFill="1" applyAlignment="1">
      <alignment horizontal="center"/>
    </xf>
    <xf numFmtId="9" fontId="1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3" fontId="0" fillId="6" borderId="0" xfId="0" applyNumberFormat="1" applyFill="1" applyAlignment="1">
      <alignment horizontal="center"/>
    </xf>
    <xf numFmtId="3" fontId="0" fillId="6" borderId="0" xfId="0" applyNumberFormat="1" applyFill="1"/>
    <xf numFmtId="3" fontId="5" fillId="4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1" fillId="9" borderId="0" xfId="0" applyFont="1" applyFill="1" applyBorder="1"/>
    <xf numFmtId="0" fontId="2" fillId="2" borderId="0" xfId="0" applyFont="1" applyFill="1" applyAlignment="1">
      <alignment horizontal="center"/>
    </xf>
    <xf numFmtId="3" fontId="4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3" fillId="9" borderId="0" xfId="0" applyFont="1" applyFill="1" applyBorder="1" applyAlignment="1">
      <alignment horizontal="center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left"/>
    </xf>
    <xf numFmtId="0" fontId="1" fillId="10" borderId="0" xfId="0" applyFont="1" applyFill="1" applyBorder="1" applyAlignment="1">
      <alignment horizontal="center"/>
    </xf>
    <xf numFmtId="3" fontId="10" fillId="5" borderId="0" xfId="0" applyNumberFormat="1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quotePrefix="1" applyFill="1" applyAlignment="1">
      <alignment horizontal="center"/>
    </xf>
    <xf numFmtId="0" fontId="1" fillId="5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center" vertical="center"/>
    </xf>
    <xf numFmtId="0" fontId="0" fillId="2" borderId="0" xfId="0" applyFill="1"/>
    <xf numFmtId="3" fontId="0" fillId="2" borderId="0" xfId="0" applyNumberFormat="1" applyFill="1"/>
    <xf numFmtId="3" fontId="8" fillId="7" borderId="0" xfId="0" applyNumberFormat="1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3" fontId="10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3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9" fontId="0" fillId="0" borderId="0" xfId="0" applyNumberFormat="1" applyFill="1"/>
    <xf numFmtId="0" fontId="12" fillId="0" borderId="0" xfId="0" applyFont="1"/>
    <xf numFmtId="3" fontId="12" fillId="0" borderId="0" xfId="0" applyNumberFormat="1" applyFont="1"/>
    <xf numFmtId="0" fontId="0" fillId="0" borderId="0" xfId="0"/>
    <xf numFmtId="0" fontId="12" fillId="0" borderId="0" xfId="0" applyFont="1" applyFill="1"/>
    <xf numFmtId="0" fontId="12" fillId="0" borderId="0" xfId="0" applyFont="1" applyAlignment="1">
      <alignment horizontal="center"/>
    </xf>
    <xf numFmtId="0" fontId="0" fillId="0" borderId="0" xfId="0" applyFill="1" applyAlignment="1">
      <alignment horizontal="right"/>
    </xf>
    <xf numFmtId="3" fontId="13" fillId="3" borderId="0" xfId="0" applyNumberFormat="1" applyFont="1" applyFill="1"/>
    <xf numFmtId="0" fontId="13" fillId="6" borderId="0" xfId="0" applyFont="1" applyFill="1"/>
    <xf numFmtId="0" fontId="13" fillId="6" borderId="0" xfId="0" applyFont="1" applyFill="1" applyAlignment="1">
      <alignment horizontal="center"/>
    </xf>
    <xf numFmtId="3" fontId="13" fillId="0" borderId="0" xfId="0" applyNumberFormat="1" applyFont="1"/>
    <xf numFmtId="0" fontId="0" fillId="11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2" fillId="3" borderId="0" xfId="0" applyFont="1" applyFill="1"/>
    <xf numFmtId="0" fontId="12" fillId="12" borderId="0" xfId="0" applyFont="1" applyFill="1"/>
    <xf numFmtId="0" fontId="0" fillId="12" borderId="0" xfId="0" applyFill="1" applyAlignment="1">
      <alignment horizontal="center"/>
    </xf>
    <xf numFmtId="0" fontId="0" fillId="12" borderId="0" xfId="0" applyFill="1"/>
    <xf numFmtId="3" fontId="0" fillId="12" borderId="0" xfId="0" applyNumberFormat="1" applyFill="1"/>
    <xf numFmtId="4" fontId="0" fillId="12" borderId="0" xfId="0" applyNumberFormat="1" applyFill="1"/>
    <xf numFmtId="3" fontId="0" fillId="12" borderId="0" xfId="0" applyNumberFormat="1" applyFill="1" applyAlignment="1">
      <alignment horizontal="center"/>
    </xf>
    <xf numFmtId="0" fontId="0" fillId="11" borderId="0" xfId="0" applyFill="1"/>
    <xf numFmtId="0" fontId="14" fillId="13" borderId="0" xfId="0" applyFont="1" applyFill="1" applyAlignment="1">
      <alignment horizontal="center"/>
    </xf>
    <xf numFmtId="0" fontId="14" fillId="3" borderId="0" xfId="0" applyFont="1" applyFill="1" applyAlignment="1">
      <alignment horizontal="right"/>
    </xf>
    <xf numFmtId="0" fontId="13" fillId="5" borderId="0" xfId="0" applyFont="1" applyFill="1"/>
    <xf numFmtId="0" fontId="13" fillId="11" borderId="0" xfId="0" applyFont="1" applyFill="1"/>
    <xf numFmtId="0" fontId="16" fillId="7" borderId="0" xfId="2" applyFont="1" applyFill="1" applyAlignment="1" applyProtection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9" fillId="8" borderId="0" xfId="0" applyFont="1" applyFill="1" applyAlignment="1">
      <alignment horizontal="center" vertical="center"/>
    </xf>
    <xf numFmtId="3" fontId="11" fillId="7" borderId="0" xfId="0" applyNumberFormat="1" applyFont="1" applyFill="1" applyBorder="1" applyAlignment="1">
      <alignment horizontal="center"/>
    </xf>
    <xf numFmtId="3" fontId="11" fillId="0" borderId="0" xfId="0" applyNumberFormat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34"/>
  <sheetViews>
    <sheetView zoomScale="80" zoomScaleNormal="80" workbookViewId="0">
      <pane ySplit="14" topLeftCell="A15" activePane="bottomLeft" state="frozen"/>
      <selection activeCell="AF80" sqref="AF80:AQ80"/>
      <selection pane="bottomLeft" activeCell="K8" sqref="K8"/>
    </sheetView>
  </sheetViews>
  <sheetFormatPr defaultRowHeight="14.4"/>
  <cols>
    <col min="1" max="1" width="19.44140625" customWidth="1"/>
    <col min="6" max="6" width="14" bestFit="1" customWidth="1"/>
    <col min="8" max="9" width="13.44140625" customWidth="1"/>
    <col min="11" max="11" width="11.109375" customWidth="1"/>
    <col min="12" max="12" width="15.77734375" customWidth="1"/>
    <col min="14" max="14" width="11.88671875" customWidth="1"/>
    <col min="15" max="15" width="8.77734375" style="41"/>
    <col min="16" max="16" width="19.44140625" style="11" customWidth="1"/>
    <col min="17" max="20" width="0" style="11" hidden="1" customWidth="1"/>
    <col min="21" max="21" width="14" style="11" hidden="1" customWidth="1"/>
    <col min="22" max="22" width="0" style="11" hidden="1" customWidth="1"/>
    <col min="23" max="24" width="13.44140625" style="11" hidden="1" customWidth="1"/>
    <col min="25" max="25" width="0" style="11" hidden="1" customWidth="1"/>
    <col min="26" max="26" width="11.109375" style="11" hidden="1" customWidth="1"/>
    <col min="27" max="27" width="15.77734375" style="11" hidden="1" customWidth="1"/>
    <col min="28" max="28" width="0" style="11" hidden="1" customWidth="1"/>
    <col min="29" max="29" width="11.88671875" style="11" hidden="1" customWidth="1"/>
    <col min="30" max="30" width="8.77734375" style="11"/>
    <col min="31" max="31" width="8.77734375" style="41"/>
    <col min="32" max="32" width="19.44140625" customWidth="1"/>
    <col min="37" max="37" width="14" bestFit="1" customWidth="1"/>
    <col min="39" max="40" width="13.44140625" customWidth="1"/>
    <col min="42" max="42" width="11.109375" customWidth="1"/>
    <col min="43" max="43" width="15.77734375" customWidth="1"/>
    <col min="45" max="45" width="11.88671875" customWidth="1"/>
  </cols>
  <sheetData>
    <row r="1" spans="1:46" ht="18">
      <c r="A1" s="14" t="s">
        <v>153</v>
      </c>
    </row>
    <row r="2" spans="1:46">
      <c r="D2" s="6" t="s">
        <v>64</v>
      </c>
      <c r="S2" s="43"/>
      <c r="AI2" s="6" t="s">
        <v>64</v>
      </c>
    </row>
    <row r="3" spans="1:46">
      <c r="A3" s="10" t="s">
        <v>3</v>
      </c>
      <c r="B3" s="22">
        <f>'Bảng tính giá Tổng hợp'!C4</f>
        <v>10000</v>
      </c>
      <c r="C3" s="23"/>
      <c r="D3" s="19">
        <f>L72/B3</f>
        <v>8392.8740595000017</v>
      </c>
      <c r="F3" t="s">
        <v>6</v>
      </c>
      <c r="G3" s="6" t="s">
        <v>7</v>
      </c>
      <c r="H3" s="6" t="s">
        <v>8</v>
      </c>
      <c r="I3" s="6" t="s">
        <v>9</v>
      </c>
      <c r="J3" s="6"/>
      <c r="K3" s="6" t="s">
        <v>132</v>
      </c>
      <c r="L3" s="6" t="s">
        <v>66</v>
      </c>
      <c r="M3" s="6" t="s">
        <v>133</v>
      </c>
      <c r="N3" s="6" t="s">
        <v>49</v>
      </c>
      <c r="O3" s="42"/>
      <c r="Q3" s="57"/>
      <c r="R3" s="12"/>
      <c r="S3" s="57"/>
      <c r="V3" s="43"/>
      <c r="W3" s="43"/>
      <c r="X3" s="43"/>
      <c r="Y3" s="43"/>
      <c r="Z3" s="43"/>
      <c r="AA3" s="43"/>
      <c r="AB3" s="43"/>
      <c r="AC3" s="43"/>
      <c r="AD3" s="44"/>
      <c r="AF3" s="10" t="s">
        <v>3</v>
      </c>
      <c r="AG3" s="22">
        <f>IF('Bảng tính giá Tổng hợp'!L7="Không Khay",0,'Bảng tính giá Tổng hợp'!C4)</f>
        <v>0</v>
      </c>
      <c r="AH3" s="23"/>
      <c r="AI3" s="19">
        <f ca="1">IFERROR(AQ72/AG3,0)</f>
        <v>0</v>
      </c>
      <c r="AK3" t="s">
        <v>6</v>
      </c>
      <c r="AL3" s="6" t="s">
        <v>7</v>
      </c>
      <c r="AM3" s="6" t="s">
        <v>8</v>
      </c>
      <c r="AN3" s="6" t="s">
        <v>9</v>
      </c>
      <c r="AO3" s="6"/>
      <c r="AP3" s="43" t="s">
        <v>147</v>
      </c>
      <c r="AQ3" s="43"/>
      <c r="AR3" s="43"/>
      <c r="AS3" s="43"/>
      <c r="AT3" s="44"/>
    </row>
    <row r="4" spans="1:46">
      <c r="A4" t="s">
        <v>48</v>
      </c>
      <c r="B4" t="str">
        <f>'Bảng tính giá Tổng hợp'!C9</f>
        <v>i300</v>
      </c>
      <c r="G4" s="6">
        <f>'Bảng tính giá Tổng hợp'!B8</f>
        <v>32</v>
      </c>
      <c r="H4" s="6">
        <f>'Bảng tính giá Tổng hợp'!C8</f>
        <v>22</v>
      </c>
      <c r="I4" s="27">
        <f>'Bảng tính giá Tổng hợp'!D8</f>
        <v>8</v>
      </c>
      <c r="J4" s="6"/>
      <c r="K4" s="27">
        <f>'Bảng tính giá Tổng hợp'!E8</f>
        <v>0.5</v>
      </c>
      <c r="L4" s="17"/>
      <c r="M4" s="6">
        <f>IF(OR(B9="Không",B9=0),0.1,IF(AND(B9=""),0.1,0.1))</f>
        <v>0.1</v>
      </c>
      <c r="N4" s="6">
        <f>IF(OR(B9="Không",B9=0),0.2,IF(AND(B9=""),0.2,0.4))</f>
        <v>0.4</v>
      </c>
      <c r="O4" s="42"/>
      <c r="V4" s="43"/>
      <c r="W4" s="43"/>
      <c r="X4" s="43"/>
      <c r="Y4" s="43"/>
      <c r="Z4" s="43"/>
      <c r="AA4" s="43"/>
      <c r="AB4" s="43"/>
      <c r="AC4" s="43"/>
      <c r="AD4" s="43"/>
      <c r="AF4" t="s">
        <v>48</v>
      </c>
      <c r="AG4" t="str">
        <f>'Bảng tính giá Tổng hợp'!M9</f>
        <v>i300</v>
      </c>
      <c r="AL4" s="6">
        <f>G4-K4*2</f>
        <v>31</v>
      </c>
      <c r="AM4" s="6">
        <f>H4-N4</f>
        <v>21.6</v>
      </c>
      <c r="AN4" s="27">
        <f>'Bảng tính giá Tổng hợp'!N8</f>
        <v>4</v>
      </c>
      <c r="AO4" s="6"/>
      <c r="AP4" s="43">
        <v>0.4</v>
      </c>
      <c r="AQ4" s="43"/>
      <c r="AR4" s="43"/>
      <c r="AS4" s="43"/>
      <c r="AT4" s="43"/>
    </row>
    <row r="5" spans="1:46">
      <c r="A5" s="10" t="s">
        <v>1</v>
      </c>
      <c r="B5" s="10" t="str">
        <f>'Bảng tính giá Tổng hợp'!C10</f>
        <v>Mờ</v>
      </c>
      <c r="C5" s="10"/>
      <c r="G5" s="6"/>
      <c r="H5" s="6"/>
      <c r="I5" s="6"/>
      <c r="J5" s="6"/>
      <c r="K5" s="6"/>
      <c r="L5" s="6"/>
      <c r="M5" s="6"/>
      <c r="N5" s="6"/>
      <c r="V5" s="43"/>
      <c r="W5" s="43"/>
      <c r="X5" s="43"/>
      <c r="Y5" s="43"/>
      <c r="Z5" s="43"/>
      <c r="AA5" s="43"/>
      <c r="AB5" s="43"/>
      <c r="AC5" s="43"/>
      <c r="AF5" s="10" t="s">
        <v>1</v>
      </c>
      <c r="AG5" s="10" t="str">
        <f>'Bảng tính giá Tổng hợp'!M10</f>
        <v>Mờ</v>
      </c>
      <c r="AH5" s="10"/>
      <c r="AL5" s="6"/>
      <c r="AM5" s="6"/>
      <c r="AN5" s="6"/>
      <c r="AO5" s="6"/>
      <c r="AP5" s="6"/>
      <c r="AQ5" s="6"/>
      <c r="AR5" s="6"/>
      <c r="AS5" s="6"/>
    </row>
    <row r="6" spans="1:46">
      <c r="A6" t="s">
        <v>67</v>
      </c>
      <c r="B6" s="6" t="str">
        <f>'Bảng tính giá Tổng hợp'!C11</f>
        <v>1x1</v>
      </c>
      <c r="C6" s="6">
        <f>IF(B6="1x1",1*1,IF(B6="1x2",1*2,IF(B6="1x3",1*3,IF(B6="2x2",2*2,IF(B6="2x3",2*3,IF(B6="2x4",2*4,IF(B6="3x3",3*3,IF(B6="3x4",3*4,IF(B6="1x2 Ngang",1*2,IF(B6="1x3 Ngang",1*3,IF(B6="2x3 Ngang",2*3,IF(B6="2x4 Ngang",2*4,IF(B6="3x4 Ngang",3*4)))))))))))))</f>
        <v>1</v>
      </c>
      <c r="F6" s="6" t="s">
        <v>50</v>
      </c>
      <c r="G6" s="6" t="s">
        <v>5</v>
      </c>
      <c r="H6" s="6" t="s">
        <v>115</v>
      </c>
      <c r="I6" s="6" t="s">
        <v>116</v>
      </c>
      <c r="J6" s="6"/>
      <c r="K6" s="6" t="s">
        <v>52</v>
      </c>
      <c r="L6" s="6" t="s">
        <v>53</v>
      </c>
      <c r="M6" s="6" t="s">
        <v>54</v>
      </c>
      <c r="N6" s="6" t="s">
        <v>59</v>
      </c>
      <c r="Q6" s="43"/>
      <c r="R6" s="43"/>
      <c r="U6" s="43"/>
      <c r="V6" s="43"/>
      <c r="W6" s="43"/>
      <c r="X6" s="43"/>
      <c r="Y6" s="43"/>
      <c r="Z6" s="43"/>
      <c r="AA6" s="43"/>
      <c r="AB6" s="43"/>
      <c r="AC6" s="43"/>
      <c r="AF6" t="s">
        <v>67</v>
      </c>
      <c r="AG6" s="6" t="str">
        <f>'Bảng tính giá Tổng hợp'!M11</f>
        <v>1x2</v>
      </c>
      <c r="AH6" s="6">
        <f>IF(AG6="1x1",1*1,IF(AG6="1x2",1*2,IF(AG6="1x3",1*3,IF(AG6="2x2",2*2,IF(AG6="2x3",2*3,IF(AG6="2x4",2*4,IF(AG6="3x3",3*3,IF(AG6="3x4",3*4,IF(AG6="1x2 Ngang",1*2,IF(AG6="1x3 Ngang",1*3,IF(AG6="2x3 Ngang",2*3,IF(AG6="2x4 Ngang",2*4,IF(AG6="3x4 Ngang",3*4)))))))))))))</f>
        <v>2</v>
      </c>
      <c r="AI6" s="86" t="s">
        <v>182</v>
      </c>
      <c r="AK6" s="6" t="s">
        <v>50</v>
      </c>
      <c r="AL6" s="6" t="s">
        <v>5</v>
      </c>
      <c r="AM6" s="6" t="s">
        <v>115</v>
      </c>
      <c r="AN6" s="6" t="s">
        <v>116</v>
      </c>
      <c r="AO6" s="6"/>
      <c r="AP6" s="6" t="s">
        <v>52</v>
      </c>
      <c r="AQ6" s="6" t="s">
        <v>53</v>
      </c>
      <c r="AR6" s="6" t="s">
        <v>54</v>
      </c>
      <c r="AS6" s="6" t="s">
        <v>59</v>
      </c>
    </row>
    <row r="7" spans="1:46">
      <c r="A7" s="10" t="s">
        <v>104</v>
      </c>
      <c r="B7" s="18">
        <f>'Bảng tính giá Tổng hợp'!C17</f>
        <v>0</v>
      </c>
      <c r="C7" s="10"/>
      <c r="F7" s="19">
        <f>IFERROR(VLOOKUP(B4,'Bảng giá giấy'!$B:$C,2,0),0)</f>
        <v>300</v>
      </c>
      <c r="G7" s="17">
        <f>IF(OR(B10="Bạc",B10="Bạc Prime",B10="Vàng",B10="Vàng Prime",B13="Có",B14="Có",B15="Có",B18="Có",B21="Bóng",B21="Cát"),IF(B3/C6*5%&lt;150,150,B3/C6*5%),IF(B3/C6*4%&lt;100,100,B3/C6*4%))</f>
        <v>400</v>
      </c>
      <c r="H7" s="6">
        <f>IFERROR(VLOOKUP(B9,'Bảng giá giấy'!$B:$C,2,0),0)</f>
        <v>1</v>
      </c>
      <c r="I7" s="6">
        <f>IF(B3/C6*3%&lt;100,100,B3/C6*3%)</f>
        <v>300</v>
      </c>
      <c r="J7" s="6"/>
      <c r="K7" s="6">
        <f>IF(B14="Có","UV",IF(OR($D$88+1&gt;54.5,$E$88&gt;79),16,IF(AND($D$88+1&lt;=52.5,$E$88&lt;=72.5),IF(L7=1,12,10),IF(L7=1,12,16))))</f>
        <v>16</v>
      </c>
      <c r="L7" s="6">
        <f>'Bảng tính giá Tổng hợp'!C12</f>
        <v>4</v>
      </c>
      <c r="M7" s="6">
        <v>1</v>
      </c>
      <c r="N7" s="20">
        <v>200</v>
      </c>
      <c r="Q7" s="43"/>
      <c r="U7" s="57"/>
      <c r="V7" s="43"/>
      <c r="W7" s="43"/>
      <c r="X7" s="43"/>
      <c r="Y7" s="43"/>
      <c r="Z7" s="43"/>
      <c r="AA7" s="43"/>
      <c r="AB7" s="43"/>
      <c r="AC7" s="57"/>
      <c r="AF7" s="10" t="s">
        <v>104</v>
      </c>
      <c r="AG7" s="18">
        <v>0</v>
      </c>
      <c r="AH7" s="10"/>
      <c r="AI7" s="17">
        <v>20</v>
      </c>
      <c r="AK7" s="19">
        <f>IFERROR(VLOOKUP(AG4,'Bảng giá giấy'!$B:$C,2,0),0)</f>
        <v>300</v>
      </c>
      <c r="AL7" s="17">
        <f>IF(OR(AF10="Bạc",AF10="Bạc Prime",AF10="Vàng",AF10="Vàng Prime",AF13="Có",AF14="Có",AF15="Có",AF18="Có",AF21="Bóng",AF21="Cát"),IF(AG3/AH6*3%&lt;150,150,AG3/AH6*3%),IF(AG3/AH6*2.5%&lt;100,100,AG3/AH6*2.5%))</f>
        <v>100</v>
      </c>
      <c r="AM7" s="6">
        <f>IFERROR(VLOOKUP(AG9,'Bảng giá giấy'!$B:$C,2,0),0)</f>
        <v>1</v>
      </c>
      <c r="AN7" s="6">
        <f>IF(AG3/AH6*2.5%&lt;100,100,AG3/AH6*2.5%)</f>
        <v>100</v>
      </c>
      <c r="AO7" s="6"/>
      <c r="AP7" s="6">
        <f ca="1">IF(AG14="Có","UV",IF(OR(AI88+1&gt;54.5,AJ88&gt;79),16,IF(AND(AI88+1&lt;=52.5,AJ88&lt;=72.5),IF(AP7=1,12,10),IF(AP7=1,12,16))))</f>
        <v>10</v>
      </c>
      <c r="AQ7" s="27">
        <f>'Bảng tính giá Tổng hợp'!M12</f>
        <v>1</v>
      </c>
      <c r="AR7" s="6">
        <v>1</v>
      </c>
      <c r="AS7" s="20">
        <v>1500</v>
      </c>
    </row>
    <row r="8" spans="1:46">
      <c r="A8" t="s">
        <v>4</v>
      </c>
      <c r="B8" s="17">
        <v>0</v>
      </c>
      <c r="F8" s="6"/>
      <c r="G8" s="6"/>
      <c r="H8" s="6"/>
      <c r="I8" s="6"/>
      <c r="J8" s="6"/>
      <c r="K8" s="6"/>
      <c r="L8" s="6"/>
      <c r="M8" s="6"/>
      <c r="N8" s="6"/>
      <c r="Q8" s="43"/>
      <c r="U8" s="43"/>
      <c r="V8" s="43"/>
      <c r="W8" s="43"/>
      <c r="X8" s="43"/>
      <c r="Y8" s="43"/>
      <c r="Z8" s="43"/>
      <c r="AA8" s="43"/>
      <c r="AB8" s="43"/>
      <c r="AC8" s="43"/>
      <c r="AF8" t="s">
        <v>4</v>
      </c>
      <c r="AG8" s="17">
        <v>0</v>
      </c>
      <c r="AK8" s="6"/>
      <c r="AL8" s="6"/>
      <c r="AM8" s="6"/>
      <c r="AN8" s="6"/>
      <c r="AO8" s="6"/>
      <c r="AP8" s="6"/>
      <c r="AQ8" s="6"/>
      <c r="AR8" s="6"/>
      <c r="AS8" s="6"/>
    </row>
    <row r="9" spans="1:46">
      <c r="A9" s="10" t="s">
        <v>109</v>
      </c>
      <c r="B9" s="18" t="str">
        <f>'Bảng tính giá Tổng hợp'!C13</f>
        <v>Sóng E Nâu</v>
      </c>
      <c r="C9" s="10"/>
      <c r="F9" s="6" t="s">
        <v>58</v>
      </c>
      <c r="G9" s="6" t="s">
        <v>57</v>
      </c>
      <c r="H9" s="6" t="s">
        <v>10</v>
      </c>
      <c r="I9" s="6" t="s">
        <v>55</v>
      </c>
      <c r="J9" s="6" t="s">
        <v>51</v>
      </c>
      <c r="K9" s="6" t="s">
        <v>118</v>
      </c>
      <c r="L9" s="6" t="s">
        <v>114</v>
      </c>
      <c r="M9" s="6"/>
      <c r="N9" s="6" t="s">
        <v>94</v>
      </c>
      <c r="Q9" s="43"/>
      <c r="U9" s="43"/>
      <c r="V9" s="43"/>
      <c r="W9" s="43"/>
      <c r="X9" s="43"/>
      <c r="Y9" s="43"/>
      <c r="Z9" s="43"/>
      <c r="AA9" s="43"/>
      <c r="AB9" s="43"/>
      <c r="AC9" s="43"/>
      <c r="AF9" s="10" t="s">
        <v>109</v>
      </c>
      <c r="AG9" s="18" t="str">
        <f>'Bảng tính giá Tổng hợp'!M13</f>
        <v>Sóng E Nâu</v>
      </c>
      <c r="AH9" s="10"/>
      <c r="AK9" s="6" t="s">
        <v>58</v>
      </c>
      <c r="AL9" s="6" t="s">
        <v>57</v>
      </c>
      <c r="AM9" s="6" t="s">
        <v>10</v>
      </c>
      <c r="AN9" s="6" t="s">
        <v>55</v>
      </c>
      <c r="AO9" s="6" t="s">
        <v>51</v>
      </c>
      <c r="AP9" s="6" t="s">
        <v>118</v>
      </c>
      <c r="AQ9" s="6" t="s">
        <v>114</v>
      </c>
      <c r="AR9" s="6"/>
      <c r="AS9" s="6" t="s">
        <v>94</v>
      </c>
    </row>
    <row r="10" spans="1:46">
      <c r="A10" t="s">
        <v>95</v>
      </c>
      <c r="B10" s="6">
        <f>'Bảng tính giá Tổng hợp'!C14</f>
        <v>0</v>
      </c>
      <c r="F10" s="20">
        <f>IF(OR(B9="Không",B9=0,B9=""),IF(B3&lt;5000,250,200),IF(B3&lt;5000,500,350))</f>
        <v>350</v>
      </c>
      <c r="G10" s="6">
        <f>IF(B5="mờ",0.22,IF(B5="bóng",0.2,IF(B5=0,0,IF(B5="Đặc biệt",1.2))))</f>
        <v>0.22</v>
      </c>
      <c r="H10" s="19">
        <f>IF(K7=8,90000,IF(K7=10,100000,IF(K7=12,170000,IF(K7=16,230000,IF(K7="UV",580000)))))</f>
        <v>230000</v>
      </c>
      <c r="I10" s="6">
        <f>IF(K7=8,35,IF(K7=10,40,IF(K7=12,70,IF(K7=16,80,IF(K7="UV",180)))))</f>
        <v>80</v>
      </c>
      <c r="J10" s="21">
        <f>IFERROR(VLOOKUP(B4,'Bảng giá giấy'!$B:$D,3,0),0)</f>
        <v>17.399999999999999</v>
      </c>
      <c r="K10" s="21">
        <f>IFERROR(VLOOKUP(B9,'Bảng giá giấy'!$B:$D,3,0),0)</f>
        <v>3800</v>
      </c>
      <c r="L10" s="20">
        <v>1300</v>
      </c>
      <c r="M10" s="6"/>
      <c r="N10" s="17" t="b">
        <f>IF(B10="Bạc",0.31,IF(B10="Bạc Prime",0.37,IF(B10="Vàng",0.4,IF(B10="Vàng Prime",0.44))))</f>
        <v>0</v>
      </c>
      <c r="Q10" s="43"/>
      <c r="U10" s="57"/>
      <c r="V10" s="43"/>
      <c r="W10" s="57"/>
      <c r="X10" s="43"/>
      <c r="Y10" s="58"/>
      <c r="Z10" s="57"/>
      <c r="AA10" s="57"/>
      <c r="AB10" s="43"/>
      <c r="AC10" s="43"/>
      <c r="AF10" t="s">
        <v>95</v>
      </c>
      <c r="AG10" s="6">
        <f>'Bảng tính giá Tổng hợp'!M14</f>
        <v>0</v>
      </c>
      <c r="AK10" s="20">
        <f>IF(OR(AG9="Không",AG9=0,AG9=""),IF(AG3&lt;5000,200,150),IF(AG3&lt;5000,500,350))</f>
        <v>500</v>
      </c>
      <c r="AL10" s="6">
        <f>IF(AG5="mờ",0.22,IF(AG5="bóng",0.2,IF(AG5=0,0,IF(AG5="Đặc biệt",1.2))))</f>
        <v>0.22</v>
      </c>
      <c r="AM10" s="19">
        <f ca="1">IF(AP7=8,90000,IF(AP7=10,100000,IF(AP7=12,170000,IF(AP7=16,230000,IF(AP7="UV",580000)))))</f>
        <v>100000</v>
      </c>
      <c r="AN10" s="6">
        <f ca="1">IF(AP7=8,35,IF(AP7=10,40,IF(AP7=12,70,IF(AP7=16,80,IF(AP7="UV",180)))))</f>
        <v>40</v>
      </c>
      <c r="AO10" s="21">
        <f>IFERROR(VLOOKUP(AG4,'Bảng giá giấy'!$B:$D,3,0),0)</f>
        <v>17.399999999999999</v>
      </c>
      <c r="AP10" s="19">
        <f>IFERROR(VLOOKUP(AG9,'Bảng giá giấy'!$B:$D,3,0),0)</f>
        <v>3800</v>
      </c>
      <c r="AQ10" s="20">
        <v>1300</v>
      </c>
      <c r="AR10" s="6"/>
      <c r="AS10" s="17" t="b">
        <f>IF(AG10="Bạc",0.31,IF(AG10="Bạc Prime",0.37,IF(AG10="Vàng",0.4,IF(AG10="Vàng Prime",0.44))))</f>
        <v>0</v>
      </c>
    </row>
    <row r="11" spans="1:46">
      <c r="A11" s="10" t="s">
        <v>106</v>
      </c>
      <c r="B11" s="18">
        <f>'Bảng tính giá Tổng hợp'!C18</f>
        <v>0</v>
      </c>
      <c r="C11" s="10" t="s">
        <v>105</v>
      </c>
      <c r="G11" s="6"/>
      <c r="H11" s="6" t="s">
        <v>130</v>
      </c>
      <c r="I11" s="6"/>
      <c r="J11" s="6"/>
      <c r="K11" s="6"/>
      <c r="L11" s="6"/>
      <c r="M11" s="6"/>
      <c r="N11" s="6"/>
      <c r="Q11" s="43"/>
      <c r="V11" s="43"/>
      <c r="W11" s="43"/>
      <c r="X11" s="43"/>
      <c r="Y11" s="43"/>
      <c r="Z11" s="43"/>
      <c r="AA11" s="43"/>
      <c r="AB11" s="43"/>
      <c r="AC11" s="43"/>
      <c r="AF11" s="10" t="s">
        <v>106</v>
      </c>
      <c r="AG11" s="18">
        <v>0</v>
      </c>
      <c r="AH11" s="10" t="s">
        <v>105</v>
      </c>
      <c r="AL11" s="6"/>
      <c r="AM11" s="74" t="s">
        <v>130</v>
      </c>
      <c r="AN11" s="74"/>
      <c r="AO11" s="6"/>
      <c r="AP11" s="6"/>
      <c r="AQ11" s="6"/>
      <c r="AR11" s="6"/>
      <c r="AS11" s="6"/>
    </row>
    <row r="12" spans="1:46">
      <c r="A12" t="s">
        <v>108</v>
      </c>
      <c r="B12" s="6">
        <f>'Bảng tính giá Tổng hợp'!C19</f>
        <v>0</v>
      </c>
      <c r="G12" s="6"/>
      <c r="H12" s="19">
        <f>IF(K7=8,120000,IF(K7=10,150000,IF(K7=12,200000,IF(K7=16,250000,IF(K7="UV",250000)))))</f>
        <v>250000</v>
      </c>
      <c r="I12" s="6">
        <f>IF(K7=8,40,IF(K7=10,50,IF(K7=12,70,IF(K7=16,100,IF(K7="UV",100)))))</f>
        <v>100</v>
      </c>
      <c r="J12" s="6"/>
      <c r="K12" s="6"/>
      <c r="L12" s="6"/>
      <c r="M12" s="6"/>
      <c r="N12" s="6"/>
      <c r="Q12" s="43"/>
      <c r="V12" s="43"/>
      <c r="W12" s="57"/>
      <c r="X12" s="43"/>
      <c r="Y12" s="43"/>
      <c r="Z12" s="43"/>
      <c r="AA12" s="43"/>
      <c r="AB12" s="43"/>
      <c r="AC12" s="43"/>
      <c r="AF12" t="s">
        <v>108</v>
      </c>
      <c r="AG12" s="6">
        <v>0</v>
      </c>
      <c r="AL12" s="6"/>
      <c r="AM12" s="78">
        <f ca="1">IF(AP7=8,120000,IF(AP7=10,150000,IF(AP7=12,200000,IF(AP7=16,250000,IF(AP7="UV",250000)))))</f>
        <v>150000</v>
      </c>
      <c r="AN12" s="74">
        <f ca="1">IF(AP7=8,40,IF(AP7=10,50,IF(AP7=12,70,IF(AP7=16,100,IF(AP7="UV",100)))))</f>
        <v>50</v>
      </c>
      <c r="AO12" s="6"/>
      <c r="AP12" s="6"/>
      <c r="AQ12" s="6"/>
      <c r="AR12" s="6"/>
      <c r="AS12" s="27" t="s">
        <v>143</v>
      </c>
    </row>
    <row r="13" spans="1:46">
      <c r="A13" s="10" t="s">
        <v>121</v>
      </c>
      <c r="B13" s="18">
        <f>'Bảng tính giá Tổng hợp'!C16</f>
        <v>0</v>
      </c>
      <c r="C13" s="10"/>
      <c r="G13" s="6"/>
      <c r="H13" s="6"/>
      <c r="I13" s="6"/>
      <c r="J13" s="6"/>
      <c r="K13" s="6"/>
      <c r="L13" s="6"/>
      <c r="M13" s="6"/>
      <c r="N13" s="6"/>
      <c r="Q13" s="43"/>
      <c r="V13" s="43"/>
      <c r="W13" s="43"/>
      <c r="X13" s="43"/>
      <c r="Y13" s="43"/>
      <c r="Z13" s="43"/>
      <c r="AA13" s="43"/>
      <c r="AB13" s="43"/>
      <c r="AC13" s="43"/>
      <c r="AF13" s="10" t="s">
        <v>121</v>
      </c>
      <c r="AG13" s="18">
        <f>'Bảng tính giá Tổng hợp'!M16</f>
        <v>0</v>
      </c>
      <c r="AH13" s="10"/>
      <c r="AL13" s="6"/>
      <c r="AM13" s="6"/>
      <c r="AN13" s="6"/>
      <c r="AO13" s="6"/>
      <c r="AP13" s="6"/>
      <c r="AQ13" s="6"/>
      <c r="AR13" s="6"/>
      <c r="AS13" s="27">
        <f>IF(AF24+AF26=0,0,1000/(AF24+AF26))</f>
        <v>0</v>
      </c>
    </row>
    <row r="14" spans="1:46">
      <c r="A14" t="s">
        <v>129</v>
      </c>
      <c r="B14" s="6">
        <f>'Bảng tính giá Tổng hợp'!C15</f>
        <v>0</v>
      </c>
      <c r="G14" s="6" t="s">
        <v>7</v>
      </c>
      <c r="H14" s="6" t="s">
        <v>8</v>
      </c>
      <c r="I14" s="6" t="s">
        <v>96</v>
      </c>
      <c r="J14" s="6" t="s">
        <v>154</v>
      </c>
      <c r="K14" s="6"/>
      <c r="L14" s="6"/>
      <c r="M14" s="6"/>
      <c r="N14" s="6"/>
      <c r="Q14" s="43"/>
      <c r="V14" s="43"/>
      <c r="W14" s="43"/>
      <c r="X14" s="43"/>
      <c r="Y14" s="43"/>
      <c r="Z14" s="43"/>
      <c r="AA14" s="43"/>
      <c r="AB14" s="43"/>
      <c r="AC14" s="43"/>
      <c r="AF14" t="s">
        <v>129</v>
      </c>
      <c r="AG14" s="6">
        <f>'Bảng tính giá Tổng hợp'!M15</f>
        <v>0</v>
      </c>
      <c r="AL14" s="6" t="s">
        <v>7</v>
      </c>
      <c r="AM14" s="6" t="s">
        <v>8</v>
      </c>
      <c r="AN14" s="6" t="s">
        <v>96</v>
      </c>
      <c r="AO14" s="6" t="s">
        <v>154</v>
      </c>
      <c r="AP14" s="6"/>
      <c r="AQ14" s="6"/>
      <c r="AR14" s="6"/>
      <c r="AS14" s="6"/>
    </row>
    <row r="15" spans="1:46">
      <c r="A15" s="10" t="s">
        <v>79</v>
      </c>
      <c r="B15" s="10">
        <f>'Bảng tính giá Tổng hợp'!C25</f>
        <v>0</v>
      </c>
      <c r="C15" s="10" t="str">
        <f>'Bảng tính giá Tổng hợp'!D25</f>
        <v>1 Mặt</v>
      </c>
      <c r="F15" t="s">
        <v>6</v>
      </c>
      <c r="G15">
        <f>'Bảng tính giá Tổng hợp'!C26</f>
        <v>0</v>
      </c>
      <c r="H15">
        <f>'Bảng tính giá Tổng hợp'!D26</f>
        <v>0</v>
      </c>
      <c r="I15">
        <f>'Bảng tính giá Tổng hợp'!E26</f>
        <v>1</v>
      </c>
      <c r="J15">
        <f>IF(G15*H15&lt;=100,100,G15*H15)</f>
        <v>100</v>
      </c>
      <c r="AF15" s="10" t="s">
        <v>79</v>
      </c>
      <c r="AG15" s="10">
        <f>'Bảng tính giá Tổng hợp'!M25</f>
        <v>0</v>
      </c>
      <c r="AH15" s="10" t="str">
        <f>'Bảng tính giá Tổng hợp'!N25</f>
        <v>1 Mặt</v>
      </c>
      <c r="AK15" t="s">
        <v>6</v>
      </c>
      <c r="AL15">
        <f>'Bảng tính giá Tổng hợp'!M26</f>
        <v>0</v>
      </c>
      <c r="AM15">
        <f>'Bảng tính giá Tổng hợp'!N26</f>
        <v>0</v>
      </c>
      <c r="AN15">
        <f>'Bảng tính giá Tổng hợp'!O26</f>
        <v>1</v>
      </c>
      <c r="AO15">
        <f>IF(AL15*AM15&lt;=100,100,AL15*AM15)</f>
        <v>100</v>
      </c>
    </row>
    <row r="16" spans="1:46">
      <c r="A16" t="s">
        <v>80</v>
      </c>
      <c r="B16">
        <f>'Bảng tính giá Tổng hợp'!C27</f>
        <v>0</v>
      </c>
      <c r="C16" t="str">
        <f>'Bảng tính giá Tổng hợp'!D27</f>
        <v>1 Mặt</v>
      </c>
      <c r="F16" t="s">
        <v>6</v>
      </c>
      <c r="G16">
        <f>'Bảng tính giá Tổng hợp'!C28</f>
        <v>0</v>
      </c>
      <c r="H16">
        <f>'Bảng tính giá Tổng hợp'!D28</f>
        <v>0</v>
      </c>
      <c r="I16">
        <f>'Bảng tính giá Tổng hợp'!E28</f>
        <v>1</v>
      </c>
      <c r="J16">
        <f t="shared" ref="J16:J17" si="0">IF(G16*H16&lt;=100,100,G16*H16)</f>
        <v>100</v>
      </c>
      <c r="AF16" t="s">
        <v>80</v>
      </c>
      <c r="AG16">
        <f>'Bảng tính giá Tổng hợp'!M27</f>
        <v>0</v>
      </c>
      <c r="AH16" t="str">
        <f>'Bảng tính giá Tổng hợp'!N27</f>
        <v>1 Mặt</v>
      </c>
      <c r="AK16" t="s">
        <v>6</v>
      </c>
      <c r="AL16">
        <f>'Bảng tính giá Tổng hợp'!M28</f>
        <v>0</v>
      </c>
      <c r="AM16">
        <f>'Bảng tính giá Tổng hợp'!N28</f>
        <v>0</v>
      </c>
      <c r="AN16">
        <f>'Bảng tính giá Tổng hợp'!O28</f>
        <v>1</v>
      </c>
      <c r="AO16">
        <f t="shared" ref="AO16:AO17" si="1">IF(AL16*AM16&lt;=100,100,AL16*AM16)</f>
        <v>100</v>
      </c>
    </row>
    <row r="17" spans="1:44">
      <c r="A17" t="s">
        <v>81</v>
      </c>
      <c r="B17">
        <f>'Bảng tính giá Tổng hợp'!C29</f>
        <v>0</v>
      </c>
      <c r="C17" t="str">
        <f>'Bảng tính giá Tổng hợp'!D29</f>
        <v>1 Mặt</v>
      </c>
      <c r="F17" t="s">
        <v>6</v>
      </c>
      <c r="G17">
        <f>'Bảng tính giá Tổng hợp'!C30</f>
        <v>0</v>
      </c>
      <c r="H17">
        <f>'Bảng tính giá Tổng hợp'!D30</f>
        <v>0</v>
      </c>
      <c r="I17">
        <f>'Bảng tính giá Tổng hợp'!E30</f>
        <v>1</v>
      </c>
      <c r="J17">
        <f t="shared" si="0"/>
        <v>100</v>
      </c>
      <c r="AF17" t="s">
        <v>81</v>
      </c>
      <c r="AG17">
        <f>'Bảng tính giá Tổng hợp'!M29</f>
        <v>0</v>
      </c>
      <c r="AH17" t="str">
        <f>'Bảng tính giá Tổng hợp'!N29</f>
        <v>1 Mặt</v>
      </c>
      <c r="AK17" t="s">
        <v>6</v>
      </c>
      <c r="AL17">
        <f>'Bảng tính giá Tổng hợp'!M30</f>
        <v>0</v>
      </c>
      <c r="AM17">
        <f>'Bảng tính giá Tổng hợp'!N30</f>
        <v>0</v>
      </c>
      <c r="AN17">
        <f>'Bảng tính giá Tổng hợp'!O30</f>
        <v>1</v>
      </c>
      <c r="AO17">
        <f t="shared" si="1"/>
        <v>100</v>
      </c>
    </row>
    <row r="18" spans="1:44">
      <c r="A18" s="10" t="s">
        <v>82</v>
      </c>
      <c r="B18" s="10">
        <f>'Bảng tính giá Tổng hợp'!C31</f>
        <v>0</v>
      </c>
      <c r="C18" s="10" t="str">
        <f>'Bảng tính giá Tổng hợp'!D31</f>
        <v>1 Mặt</v>
      </c>
      <c r="F18" t="s">
        <v>6</v>
      </c>
      <c r="G18">
        <f>'Bảng tính giá Tổng hợp'!C32</f>
        <v>0</v>
      </c>
      <c r="H18">
        <f>'Bảng tính giá Tổng hợp'!D32</f>
        <v>0</v>
      </c>
      <c r="I18">
        <f>'Bảng tính giá Tổng hợp'!E32</f>
        <v>1</v>
      </c>
      <c r="J18">
        <f>IF(G18*H18*2&lt;=100,100,G18*H18*2)</f>
        <v>100</v>
      </c>
      <c r="AF18" s="10" t="s">
        <v>82</v>
      </c>
      <c r="AG18" s="10">
        <f>'Bảng tính giá Tổng hợp'!M31</f>
        <v>0</v>
      </c>
      <c r="AH18" s="10" t="str">
        <f>'Bảng tính giá Tổng hợp'!N31</f>
        <v>1 Mặt</v>
      </c>
      <c r="AK18" t="s">
        <v>6</v>
      </c>
      <c r="AL18">
        <f>'Bảng tính giá Tổng hợp'!M32</f>
        <v>0</v>
      </c>
      <c r="AM18">
        <f>'Bảng tính giá Tổng hợp'!N32</f>
        <v>0</v>
      </c>
      <c r="AN18">
        <f>'Bảng tính giá Tổng hợp'!O32</f>
        <v>1</v>
      </c>
      <c r="AO18">
        <f>IF(AL18*AM18*2&lt;=100,100,AL18*AM18*2)</f>
        <v>100</v>
      </c>
    </row>
    <row r="19" spans="1:44">
      <c r="A19" t="s">
        <v>83</v>
      </c>
      <c r="B19">
        <v>0</v>
      </c>
      <c r="C19" t="s">
        <v>92</v>
      </c>
      <c r="F19" t="s">
        <v>6</v>
      </c>
      <c r="G19">
        <v>0</v>
      </c>
      <c r="H19">
        <v>0</v>
      </c>
      <c r="I19">
        <v>1</v>
      </c>
      <c r="J19">
        <f t="shared" ref="J19:J20" si="2">IF(G19*H19*2&lt;=100,100,G19*H19*2)</f>
        <v>100</v>
      </c>
      <c r="AF19" t="s">
        <v>83</v>
      </c>
      <c r="AG19">
        <v>0</v>
      </c>
      <c r="AH19" t="s">
        <v>92</v>
      </c>
      <c r="AK19" t="s">
        <v>6</v>
      </c>
      <c r="AL19">
        <v>0</v>
      </c>
      <c r="AM19">
        <v>0</v>
      </c>
      <c r="AN19">
        <v>1</v>
      </c>
      <c r="AO19">
        <f t="shared" ref="AO19:AO20" si="3">IF(AL19*AM19*2&lt;=100,100,AL19*AM19*2)</f>
        <v>100</v>
      </c>
    </row>
    <row r="20" spans="1:44">
      <c r="A20" t="s">
        <v>84</v>
      </c>
      <c r="B20">
        <v>0</v>
      </c>
      <c r="C20" t="s">
        <v>92</v>
      </c>
      <c r="F20" t="s">
        <v>6</v>
      </c>
      <c r="G20">
        <v>0</v>
      </c>
      <c r="H20">
        <v>0</v>
      </c>
      <c r="I20">
        <v>1</v>
      </c>
      <c r="J20">
        <f t="shared" si="2"/>
        <v>100</v>
      </c>
      <c r="AF20" t="s">
        <v>84</v>
      </c>
      <c r="AG20">
        <v>0</v>
      </c>
      <c r="AH20" t="s">
        <v>92</v>
      </c>
      <c r="AK20" t="s">
        <v>6</v>
      </c>
      <c r="AL20">
        <v>0</v>
      </c>
      <c r="AM20">
        <v>0</v>
      </c>
      <c r="AN20">
        <v>1</v>
      </c>
      <c r="AO20">
        <f t="shared" si="3"/>
        <v>100</v>
      </c>
    </row>
    <row r="21" spans="1:44">
      <c r="A21" s="10" t="s">
        <v>128</v>
      </c>
      <c r="B21" s="10">
        <f>'Bảng tính giá Tổng hợp'!C23</f>
        <v>0</v>
      </c>
      <c r="C21" s="10" t="s">
        <v>92</v>
      </c>
      <c r="AF21" s="10" t="s">
        <v>128</v>
      </c>
      <c r="AG21" s="10">
        <f>'Bảng tính giá Tổng hợp'!M23</f>
        <v>0</v>
      </c>
      <c r="AH21" s="10" t="s">
        <v>92</v>
      </c>
    </row>
    <row r="22" spans="1:44">
      <c r="AM22" s="6"/>
      <c r="AN22" s="6"/>
      <c r="AP22" s="6"/>
      <c r="AQ22" s="6"/>
      <c r="AR22" s="6"/>
    </row>
    <row r="23" spans="1:44">
      <c r="AF23" s="80" t="s">
        <v>172</v>
      </c>
      <c r="AG23" s="27"/>
      <c r="AH23" s="47"/>
      <c r="AK23" s="3"/>
      <c r="AM23" s="6"/>
      <c r="AN23" s="6"/>
      <c r="AP23" s="6"/>
      <c r="AQ23" s="6"/>
      <c r="AR23" s="6"/>
    </row>
    <row r="24" spans="1:44">
      <c r="AF24" s="81">
        <f>'Bảng tính giá Tổng hợp'!M17</f>
        <v>0</v>
      </c>
      <c r="AG24" s="27"/>
      <c r="AH24" s="47"/>
      <c r="AK24" s="3"/>
      <c r="AM24" s="6"/>
      <c r="AN24" s="6"/>
      <c r="AP24" s="6"/>
      <c r="AQ24" s="6"/>
      <c r="AR24" s="6"/>
    </row>
    <row r="25" spans="1:44">
      <c r="AF25" s="80" t="s">
        <v>145</v>
      </c>
      <c r="AG25" s="6"/>
      <c r="AK25" s="3"/>
      <c r="AM25" s="6"/>
      <c r="AN25" s="6"/>
      <c r="AP25" s="6"/>
      <c r="AQ25" s="6"/>
      <c r="AR25" s="6"/>
    </row>
    <row r="26" spans="1:44">
      <c r="AF26" s="81">
        <f>'Bảng tính giá Tổng hợp'!M18</f>
        <v>0</v>
      </c>
    </row>
    <row r="27" spans="1:44">
      <c r="AF27" s="80" t="s">
        <v>109</v>
      </c>
    </row>
    <row r="28" spans="1:44" s="62" customFormat="1">
      <c r="O28" s="4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41"/>
      <c r="AF28" s="81">
        <f>'Bảng tính giá Tổng hợp'!M19</f>
        <v>0</v>
      </c>
    </row>
    <row r="29" spans="1:44" s="62" customFormat="1">
      <c r="O29" s="4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41"/>
    </row>
    <row r="30" spans="1:44" s="62" customFormat="1">
      <c r="O30" s="4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41"/>
    </row>
    <row r="31" spans="1:44" s="62" customFormat="1">
      <c r="O31" s="4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41"/>
    </row>
    <row r="32" spans="1:44" s="62" customFormat="1">
      <c r="O32" s="4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41"/>
    </row>
    <row r="33" spans="15:45" s="62" customFormat="1">
      <c r="O33" s="4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41"/>
    </row>
    <row r="34" spans="15:45" s="62" customFormat="1">
      <c r="O34" s="4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41"/>
      <c r="AG34" s="11"/>
      <c r="AH34" s="63"/>
      <c r="AI34" s="11"/>
      <c r="AJ34" s="11"/>
      <c r="AK34" s="11"/>
      <c r="AL34" s="11"/>
      <c r="AM34" s="71">
        <f>AL4+AP4</f>
        <v>31.4</v>
      </c>
      <c r="AN34" s="71">
        <f>AM4+AP4</f>
        <v>22</v>
      </c>
      <c r="AO34" s="11"/>
      <c r="AP34" s="11"/>
      <c r="AQ34" s="11"/>
      <c r="AR34" s="11"/>
      <c r="AS34" s="11"/>
    </row>
    <row r="35" spans="15:45" s="62" customFormat="1">
      <c r="O35" s="4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41"/>
      <c r="AG35" s="65" t="s">
        <v>30</v>
      </c>
      <c r="AH35" s="11"/>
      <c r="AI35" s="12"/>
      <c r="AJ35" s="11"/>
      <c r="AK35" s="11" t="s">
        <v>162</v>
      </c>
      <c r="AL35" s="7" t="s">
        <v>169</v>
      </c>
      <c r="AM35" s="17">
        <f>IF(AM34&gt;AN34,AM34,AN34)</f>
        <v>31.4</v>
      </c>
      <c r="AN35" s="17">
        <f>IF(AN34&lt;AM34,AN34,AM34)</f>
        <v>22</v>
      </c>
      <c r="AO35" s="11"/>
      <c r="AP35" s="11"/>
      <c r="AQ35" s="11"/>
      <c r="AR35" s="11"/>
      <c r="AS35" s="11"/>
    </row>
    <row r="36" spans="15:45" s="62" customFormat="1">
      <c r="O36" s="4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41"/>
      <c r="AG36" s="11"/>
      <c r="AH36" s="11"/>
      <c r="AI36" s="11"/>
      <c r="AM36" s="64" t="s">
        <v>7</v>
      </c>
      <c r="AN36" s="64" t="s">
        <v>8</v>
      </c>
      <c r="AO36" s="6" t="s">
        <v>165</v>
      </c>
      <c r="AP36" s="6"/>
      <c r="AQ36" s="6"/>
      <c r="AR36" s="6" t="s">
        <v>67</v>
      </c>
      <c r="AS36" s="11" t="s">
        <v>163</v>
      </c>
    </row>
    <row r="37" spans="15:45" s="62" customFormat="1">
      <c r="O37" s="4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41"/>
      <c r="AG37" s="12">
        <v>15000</v>
      </c>
      <c r="AH37" s="82" t="s">
        <v>145</v>
      </c>
      <c r="AI37" s="12">
        <f>IFERROR(AS37*AK37*AF26,0)</f>
        <v>0</v>
      </c>
      <c r="AJ37" s="62" t="s">
        <v>134</v>
      </c>
      <c r="AK37" s="69">
        <f>AG37</f>
        <v>15000</v>
      </c>
      <c r="AM37" s="42">
        <v>100</v>
      </c>
      <c r="AN37" s="70">
        <v>100</v>
      </c>
      <c r="AO37" s="6"/>
      <c r="AP37" s="6">
        <f>ROUNDDOWN(AM37/AM35,0)</f>
        <v>3</v>
      </c>
      <c r="AQ37" s="6">
        <f>ROUNDDOWN(AN37/AN35,0)</f>
        <v>4</v>
      </c>
      <c r="AR37" s="42">
        <f>AP37*AQ37</f>
        <v>12</v>
      </c>
      <c r="AS37" s="17">
        <f>ROUNDUP((AG3+AI7)/(AR37+AR38),0)</f>
        <v>2</v>
      </c>
    </row>
    <row r="38" spans="15:45" s="62" customFormat="1">
      <c r="O38" s="4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41"/>
      <c r="AG38" s="11"/>
      <c r="AH38" s="41" t="s">
        <v>164</v>
      </c>
      <c r="AI38" s="12"/>
      <c r="AK38" s="69"/>
      <c r="AM38" s="17">
        <f>AM37-AP37*AM35</f>
        <v>5.8000000000000114</v>
      </c>
      <c r="AN38" s="17">
        <f>AN37-AN35*AQ37</f>
        <v>12</v>
      </c>
      <c r="AO38" s="17">
        <f>IF(AP37*AM35&lt;AN37,100,AN37-AN35*AQ37)</f>
        <v>100</v>
      </c>
      <c r="AP38" s="6">
        <f>ROUNDDOWN(IF(AM38&gt;AN38,AM38/AN35,AN38/AN35),0)</f>
        <v>0</v>
      </c>
      <c r="AQ38" s="6">
        <f>ROUNDDOWN(IF(AM38&gt;AN38,AL38/AM35,AO38/AM35),0)</f>
        <v>3</v>
      </c>
      <c r="AR38" s="42">
        <f t="shared" ref="AR38:AR40" si="4">AP38*AQ38</f>
        <v>0</v>
      </c>
      <c r="AS38" s="17"/>
    </row>
    <row r="39" spans="15:45" s="62" customFormat="1">
      <c r="O39" s="4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41"/>
      <c r="AG39" s="11"/>
      <c r="AH39" s="41"/>
      <c r="AI39" s="12">
        <f>IFERROR(AS39*AK37*AF26,0)</f>
        <v>0</v>
      </c>
      <c r="AJ39" s="62" t="s">
        <v>134</v>
      </c>
      <c r="AK39" s="69">
        <f>AG37</f>
        <v>15000</v>
      </c>
      <c r="AM39" s="42">
        <v>100</v>
      </c>
      <c r="AN39" s="70">
        <v>100</v>
      </c>
      <c r="AO39" s="6"/>
      <c r="AP39" s="6">
        <f>ROUNDDOWN(AM39/AN35,0)</f>
        <v>4</v>
      </c>
      <c r="AQ39" s="6">
        <f>ROUNDDOWN(AN39/AM35,0)</f>
        <v>3</v>
      </c>
      <c r="AR39" s="6">
        <f t="shared" si="4"/>
        <v>12</v>
      </c>
      <c r="AS39" s="17">
        <f>ROUNDUP((AG3+AI7)/(AR39+AR40),0)</f>
        <v>2</v>
      </c>
    </row>
    <row r="40" spans="15:45" s="62" customFormat="1">
      <c r="O40" s="4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41"/>
      <c r="AG40" s="11"/>
      <c r="AH40" s="41" t="s">
        <v>164</v>
      </c>
      <c r="AI40" s="12"/>
      <c r="AK40" s="69"/>
      <c r="AM40" s="17">
        <f>AM39-AP39*AN35</f>
        <v>12</v>
      </c>
      <c r="AN40" s="17">
        <f>AN39-AQ39*AM35</f>
        <v>5.8000000000000114</v>
      </c>
      <c r="AO40" s="17">
        <f>IF(AQ39*AM35&lt;100,100,AM39-AP39*AN35)</f>
        <v>100</v>
      </c>
      <c r="AP40" s="6">
        <f>ROUNDDOWN(IF(AM40&gt;AN40,AM40/AN35,AN40/AN35),0)</f>
        <v>0</v>
      </c>
      <c r="AQ40" s="6">
        <f>ROUNDDOWN(IF(AM40&gt;AN40,AL40/AM35,AO40/AM35),0)</f>
        <v>0</v>
      </c>
      <c r="AR40" s="6">
        <f t="shared" si="4"/>
        <v>0</v>
      </c>
      <c r="AS40" s="17"/>
    </row>
    <row r="41" spans="15:45" s="62" customFormat="1">
      <c r="O41" s="4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41"/>
      <c r="AG41" s="11"/>
      <c r="AH41" s="65" t="s">
        <v>161</v>
      </c>
      <c r="AI41" s="66">
        <f t="array" ref="AI41">MIN(IF(AI37:AI40&lt;&gt;0,AI37:AI40))</f>
        <v>0</v>
      </c>
      <c r="AJ41" s="67" t="str">
        <f>VLOOKUP(AI41,AI37:AS40,2,0)</f>
        <v>1x1</v>
      </c>
      <c r="AK41" s="67"/>
      <c r="AL41" s="67"/>
      <c r="AM41" s="68"/>
      <c r="AN41" s="68"/>
      <c r="AO41" s="68"/>
      <c r="AP41" s="68"/>
      <c r="AQ41" s="68"/>
      <c r="AR41" s="68"/>
      <c r="AS41" s="68">
        <f>VLOOKUP(AI41,AI37:AS40,11,0)</f>
        <v>2</v>
      </c>
    </row>
    <row r="42" spans="15:45" s="62" customFormat="1">
      <c r="O42" s="4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4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</row>
    <row r="43" spans="15:45" s="62" customFormat="1">
      <c r="O43" s="4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41"/>
      <c r="AG43" s="12">
        <v>120000</v>
      </c>
      <c r="AH43" s="83" t="s">
        <v>148</v>
      </c>
      <c r="AI43" s="12">
        <f>IFERROR(AS43*AK43*AF24,0)</f>
        <v>0</v>
      </c>
      <c r="AJ43" s="62" t="s">
        <v>171</v>
      </c>
      <c r="AK43" s="69">
        <f>AG43</f>
        <v>120000</v>
      </c>
      <c r="AM43" s="42">
        <v>240</v>
      </c>
      <c r="AN43" s="70">
        <v>121</v>
      </c>
      <c r="AO43" s="6"/>
      <c r="AP43" s="6">
        <f>ROUNDDOWN(AM43/AM35,0)</f>
        <v>7</v>
      </c>
      <c r="AQ43" s="6">
        <f>ROUNDDOWN(AN43/AN35,0)</f>
        <v>5</v>
      </c>
      <c r="AR43" s="42">
        <f>AP43*AQ43</f>
        <v>35</v>
      </c>
      <c r="AS43" s="17">
        <f>ROUNDUP((AG3+AI7)/(AR43+AR44),0)</f>
        <v>1</v>
      </c>
    </row>
    <row r="44" spans="15:45" s="62" customFormat="1">
      <c r="O44" s="4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41"/>
      <c r="AG44" s="11"/>
      <c r="AH44" s="79" t="s">
        <v>164</v>
      </c>
      <c r="AI44" s="12"/>
      <c r="AK44" s="69"/>
      <c r="AL44" s="62">
        <v>240</v>
      </c>
      <c r="AM44" s="17">
        <f>AM43-AM35*AP43</f>
        <v>20.200000000000017</v>
      </c>
      <c r="AN44" s="17">
        <f>AN43-AN35*AQ43</f>
        <v>11</v>
      </c>
      <c r="AO44" s="17">
        <v>121</v>
      </c>
      <c r="AP44" s="6">
        <f>ROUNDDOWN(IF(AM44&gt;AN44,AM44/AN35,AN44/AN35),0)</f>
        <v>0</v>
      </c>
      <c r="AQ44" s="6">
        <f>ROUNDDOWN(IF(AM44&gt;AN44,AL44/AM35,AO44/AM35),0)</f>
        <v>7</v>
      </c>
      <c r="AR44" s="42">
        <f>AP44*AQ44</f>
        <v>0</v>
      </c>
      <c r="AS44" s="17"/>
    </row>
    <row r="45" spans="15:45" s="62" customFormat="1">
      <c r="O45" s="4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41"/>
      <c r="AG45" s="11"/>
      <c r="AH45" s="79"/>
      <c r="AI45" s="12">
        <f>IFERROR(AS45*AK45*AF24,0)</f>
        <v>0</v>
      </c>
      <c r="AJ45" s="62" t="s">
        <v>171</v>
      </c>
      <c r="AK45" s="69">
        <f>AG43</f>
        <v>120000</v>
      </c>
      <c r="AM45" s="42">
        <v>121</v>
      </c>
      <c r="AN45" s="70">
        <v>240</v>
      </c>
      <c r="AO45" s="6"/>
      <c r="AP45" s="6">
        <f>ROUNDDOWN(AM45/AM35,0)</f>
        <v>3</v>
      </c>
      <c r="AQ45" s="6">
        <f>ROUNDDOWN(AN45/AN35,0)</f>
        <v>10</v>
      </c>
      <c r="AR45" s="6">
        <f>AP45*AQ45</f>
        <v>30</v>
      </c>
      <c r="AS45" s="17">
        <f>ROUNDUP((AG3+AI7)/(AR45+AR46),0)</f>
        <v>1</v>
      </c>
    </row>
    <row r="46" spans="15:45" s="62" customFormat="1">
      <c r="O46" s="4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41"/>
      <c r="AG46" s="11"/>
      <c r="AH46" s="79" t="s">
        <v>164</v>
      </c>
      <c r="AI46" s="12"/>
      <c r="AK46" s="69"/>
      <c r="AL46" s="62">
        <v>240</v>
      </c>
      <c r="AM46" s="17">
        <f>AM45-AM35*AP45</f>
        <v>26.800000000000011</v>
      </c>
      <c r="AN46" s="17">
        <f>AN45-AQ45*AN35</f>
        <v>20</v>
      </c>
      <c r="AO46" s="17">
        <v>121</v>
      </c>
      <c r="AP46" s="6">
        <f>ROUNDDOWN(IF(AM46&gt;AN46,AM46/AN35,AN46/AN35),0)</f>
        <v>1</v>
      </c>
      <c r="AQ46" s="6">
        <f>ROUNDDOWN(IF(AM46&gt;AN46,AL46/AM35,AO46/AM35),0)</f>
        <v>7</v>
      </c>
      <c r="AR46" s="6">
        <f>AP46*AQ46</f>
        <v>7</v>
      </c>
      <c r="AS46" s="17"/>
    </row>
    <row r="47" spans="15:45" s="62" customFormat="1">
      <c r="O47" s="4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41"/>
      <c r="AG47" s="11"/>
      <c r="AH47" s="65" t="s">
        <v>161</v>
      </c>
      <c r="AI47" s="66">
        <f t="array" ref="AI47">MIN(IF(AI43:AI46&lt;&gt;0,AI43:AI46))</f>
        <v>0</v>
      </c>
      <c r="AJ47" s="67" t="str">
        <f>VLOOKUP(AI47,AI43:AS46,2,0)</f>
        <v>1.22x2.44</v>
      </c>
      <c r="AK47" s="67"/>
      <c r="AL47" s="67"/>
      <c r="AM47" s="68"/>
      <c r="AN47" s="68"/>
      <c r="AO47" s="68"/>
      <c r="AP47" s="68"/>
      <c r="AQ47" s="68"/>
      <c r="AR47" s="68"/>
      <c r="AS47" s="68">
        <f>VLOOKUP(AI47,AI43:AS46,11,0)</f>
        <v>1</v>
      </c>
    </row>
    <row r="48" spans="15:45" s="62" customFormat="1">
      <c r="O48" s="4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41"/>
      <c r="AG48" s="11"/>
      <c r="AH48" s="65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 spans="15:45" s="62" customFormat="1">
      <c r="O49" s="4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41"/>
      <c r="AG49" s="11"/>
      <c r="AH49" s="63"/>
      <c r="AI49" s="11"/>
      <c r="AJ49" s="11"/>
      <c r="AK49" s="11"/>
      <c r="AL49" s="11"/>
      <c r="AM49" s="71">
        <f>AM34</f>
        <v>31.4</v>
      </c>
      <c r="AN49" s="71">
        <f>AN34</f>
        <v>22</v>
      </c>
      <c r="AO49" s="11"/>
      <c r="AP49" s="11"/>
      <c r="AQ49" s="11"/>
      <c r="AR49" s="11"/>
      <c r="AS49" s="11"/>
    </row>
    <row r="50" spans="15:45" s="62" customFormat="1">
      <c r="O50" s="4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41"/>
      <c r="AG50" s="65" t="s">
        <v>30</v>
      </c>
      <c r="AH50" s="11"/>
      <c r="AI50" s="12"/>
      <c r="AJ50" s="11"/>
      <c r="AK50" s="11" t="s">
        <v>162</v>
      </c>
      <c r="AL50" s="7" t="s">
        <v>169</v>
      </c>
      <c r="AM50" s="17">
        <f>IF(AM49&gt;AN49,AM49,AN49)</f>
        <v>31.4</v>
      </c>
      <c r="AN50" s="17">
        <f>IF(AN49&lt;AM49,AN49,AM49)</f>
        <v>22</v>
      </c>
      <c r="AO50" s="11"/>
      <c r="AP50" s="11"/>
      <c r="AQ50" s="11"/>
      <c r="AR50" s="11"/>
      <c r="AS50" s="11"/>
    </row>
    <row r="51" spans="15:45" s="62" customFormat="1">
      <c r="O51" s="4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41"/>
      <c r="AG51" s="11"/>
      <c r="AH51" s="11"/>
      <c r="AI51" s="11"/>
      <c r="AM51" s="64" t="s">
        <v>7</v>
      </c>
      <c r="AN51" s="64" t="s">
        <v>8</v>
      </c>
      <c r="AO51" s="6" t="s">
        <v>165</v>
      </c>
      <c r="AP51" s="6"/>
      <c r="AQ51" s="6"/>
      <c r="AR51" s="6" t="s">
        <v>67</v>
      </c>
      <c r="AS51" s="11" t="s">
        <v>163</v>
      </c>
    </row>
    <row r="52" spans="15:45" s="62" customFormat="1">
      <c r="O52" s="4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41"/>
      <c r="AG52" s="12">
        <v>40000</v>
      </c>
      <c r="AH52" s="82" t="s">
        <v>149</v>
      </c>
      <c r="AI52" s="12">
        <f>IFERROR(AS52*AK52,0)</f>
        <v>80000</v>
      </c>
      <c r="AJ52" s="62" t="s">
        <v>175</v>
      </c>
      <c r="AK52" s="69">
        <f>AG52</f>
        <v>40000</v>
      </c>
      <c r="AM52" s="42">
        <v>150</v>
      </c>
      <c r="AN52" s="70">
        <v>100</v>
      </c>
      <c r="AO52" s="6"/>
      <c r="AP52" s="6">
        <f>ROUNDDOWN(AM52/AM50,0)</f>
        <v>4</v>
      </c>
      <c r="AQ52" s="6">
        <f>ROUNDDOWN(AN52/AN50,0)</f>
        <v>4</v>
      </c>
      <c r="AR52" s="42">
        <f>AP52*AQ52</f>
        <v>16</v>
      </c>
      <c r="AS52" s="17">
        <f>ROUNDUP((AG3+AI7)/(AR52+AR53),0)</f>
        <v>2</v>
      </c>
    </row>
    <row r="53" spans="15:45" s="62" customFormat="1">
      <c r="O53" s="4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41"/>
      <c r="AG53" s="11"/>
      <c r="AH53" s="41" t="s">
        <v>164</v>
      </c>
      <c r="AI53" s="12"/>
      <c r="AK53" s="69"/>
      <c r="AL53" s="62">
        <v>150</v>
      </c>
      <c r="AM53" s="17">
        <f>AM52-AP52*AM50</f>
        <v>24.400000000000006</v>
      </c>
      <c r="AN53" s="17">
        <f>AN52-AN50*AQ52</f>
        <v>12</v>
      </c>
      <c r="AO53" s="17">
        <v>100</v>
      </c>
      <c r="AP53" s="6">
        <f>ROUNDDOWN(AM53/AM50,0)</f>
        <v>0</v>
      </c>
      <c r="AQ53" s="6">
        <f>ROUNDDOWN(AN53/AN50,0)</f>
        <v>0</v>
      </c>
      <c r="AR53" s="42">
        <f t="shared" ref="AR53:AR55" si="5">AP53*AQ53</f>
        <v>0</v>
      </c>
      <c r="AS53" s="17"/>
    </row>
    <row r="54" spans="15:45" s="62" customFormat="1">
      <c r="O54" s="4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41"/>
      <c r="AG54" s="11"/>
      <c r="AH54" s="41"/>
      <c r="AI54" s="12">
        <f>IFERROR(AS54*AK52,0)</f>
        <v>40000</v>
      </c>
      <c r="AJ54" s="62" t="s">
        <v>174</v>
      </c>
      <c r="AK54" s="69">
        <f>AG52</f>
        <v>40000</v>
      </c>
      <c r="AM54" s="42">
        <v>100</v>
      </c>
      <c r="AN54" s="70">
        <v>150</v>
      </c>
      <c r="AO54" s="6"/>
      <c r="AP54" s="6">
        <f>ROUNDDOWN(AM54/AM50,0)</f>
        <v>3</v>
      </c>
      <c r="AQ54" s="6">
        <f>ROUNDDOWN(AN54/AN50,0)</f>
        <v>6</v>
      </c>
      <c r="AR54" s="6">
        <f t="shared" si="5"/>
        <v>18</v>
      </c>
      <c r="AS54" s="17">
        <f>ROUNDUP((AG3+AI7)/(AR54+AR55),0)</f>
        <v>1</v>
      </c>
    </row>
    <row r="55" spans="15:45" s="62" customFormat="1">
      <c r="O55" s="4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41"/>
      <c r="AG55" s="11"/>
      <c r="AH55" s="41" t="s">
        <v>164</v>
      </c>
      <c r="AI55" s="12"/>
      <c r="AK55" s="69"/>
      <c r="AL55" s="62">
        <v>150</v>
      </c>
      <c r="AM55" s="17">
        <f>AM54-AP54*AN50</f>
        <v>34</v>
      </c>
      <c r="AN55" s="17">
        <f>AN54-AQ54*AN50</f>
        <v>18</v>
      </c>
      <c r="AO55" s="17">
        <v>100</v>
      </c>
      <c r="AP55" s="6">
        <f>ROUNDDOWN(IF(AM55&gt;AN55,AM55/AN50,AN55/AN50),0)</f>
        <v>1</v>
      </c>
      <c r="AQ55" s="6">
        <f>ROUNDDOWN(IF(AM55&gt;AN55,AL55/AM50,AO55/AM50),0)</f>
        <v>4</v>
      </c>
      <c r="AR55" s="6">
        <f t="shared" si="5"/>
        <v>4</v>
      </c>
      <c r="AS55" s="17"/>
    </row>
    <row r="56" spans="15:45" s="62" customFormat="1">
      <c r="O56" s="4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41"/>
      <c r="AG56" s="11"/>
      <c r="AH56" s="65" t="s">
        <v>161</v>
      </c>
      <c r="AI56" s="66">
        <f t="array" ref="AI56">MIN(IF(AI52:AI55&lt;&gt;0,AI52:AI55))</f>
        <v>40000</v>
      </c>
      <c r="AJ56" s="67" t="str">
        <f>VLOOKUP(AI56,AI52:AS55,2,0)</f>
        <v>1.5x1</v>
      </c>
      <c r="AK56" s="67"/>
      <c r="AL56" s="67"/>
      <c r="AM56" s="68"/>
      <c r="AN56" s="68"/>
      <c r="AO56" s="68"/>
      <c r="AP56" s="68"/>
      <c r="AQ56" s="68"/>
      <c r="AR56" s="68"/>
      <c r="AS56" s="68">
        <f>VLOOKUP(AI56,AI52:AS55,11,0)</f>
        <v>1</v>
      </c>
    </row>
    <row r="57" spans="15:45" s="62" customFormat="1">
      <c r="O57" s="4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4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</row>
    <row r="58" spans="15:45" s="62" customFormat="1">
      <c r="O58" s="4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41"/>
      <c r="AG58" s="11"/>
      <c r="AH58" s="63"/>
      <c r="AI58" s="11"/>
      <c r="AJ58" s="11"/>
      <c r="AK58" s="11"/>
      <c r="AL58" s="11"/>
      <c r="AM58" s="71">
        <f>AL4+AN4*4</f>
        <v>47</v>
      </c>
      <c r="AN58" s="71">
        <f>AM4+AN4*4</f>
        <v>37.6</v>
      </c>
      <c r="AO58" s="11"/>
      <c r="AP58" s="11"/>
      <c r="AQ58" s="11"/>
      <c r="AR58" s="11"/>
      <c r="AS58" s="11"/>
    </row>
    <row r="59" spans="15:45" s="62" customFormat="1">
      <c r="O59" s="4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41"/>
      <c r="AG59" s="65" t="s">
        <v>30</v>
      </c>
      <c r="AH59" s="11"/>
      <c r="AI59" s="12"/>
      <c r="AJ59" s="11"/>
      <c r="AK59" s="11" t="s">
        <v>162</v>
      </c>
      <c r="AL59" s="7" t="s">
        <v>169</v>
      </c>
      <c r="AM59" s="17">
        <f>IF(AM58&gt;AN58,AM58,AN58)</f>
        <v>47</v>
      </c>
      <c r="AN59" s="17">
        <f>IF(AN58&lt;AM58,AN58,AM58)</f>
        <v>37.6</v>
      </c>
      <c r="AO59" s="11"/>
      <c r="AP59" s="11"/>
      <c r="AQ59" s="11"/>
      <c r="AR59" s="11"/>
      <c r="AS59" s="11"/>
    </row>
    <row r="60" spans="15:45" s="62" customFormat="1">
      <c r="O60" s="4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41"/>
      <c r="AG60" s="11"/>
      <c r="AH60" s="11"/>
      <c r="AI60" s="11"/>
      <c r="AM60" s="64" t="s">
        <v>7</v>
      </c>
      <c r="AN60" s="64" t="s">
        <v>8</v>
      </c>
      <c r="AO60" s="6" t="s">
        <v>165</v>
      </c>
      <c r="AP60" s="6"/>
      <c r="AQ60" s="6"/>
      <c r="AR60" s="6" t="s">
        <v>67</v>
      </c>
      <c r="AS60" s="11" t="s">
        <v>163</v>
      </c>
    </row>
    <row r="61" spans="15:45" s="62" customFormat="1">
      <c r="O61" s="4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41"/>
      <c r="AG61" s="12">
        <v>15000</v>
      </c>
      <c r="AH61" s="82" t="s">
        <v>173</v>
      </c>
      <c r="AI61" s="12">
        <f>IFERROR(AS61*AK61,0)</f>
        <v>60000</v>
      </c>
      <c r="AJ61" s="62" t="s">
        <v>175</v>
      </c>
      <c r="AK61" s="69">
        <f>AG61</f>
        <v>15000</v>
      </c>
      <c r="AM61" s="42">
        <v>150</v>
      </c>
      <c r="AN61" s="70">
        <v>100</v>
      </c>
      <c r="AO61" s="6"/>
      <c r="AP61" s="6">
        <f>ROUNDDOWN(AM61/AM59,0)</f>
        <v>3</v>
      </c>
      <c r="AQ61" s="6">
        <f>ROUNDDOWN(AN61/AN59,0)</f>
        <v>2</v>
      </c>
      <c r="AR61" s="42">
        <f>AP61*AQ61</f>
        <v>6</v>
      </c>
      <c r="AS61" s="17">
        <f>ROUNDUP((AG3+AI7)/(AR61+AR62),0)</f>
        <v>4</v>
      </c>
    </row>
    <row r="62" spans="15:45" s="62" customFormat="1">
      <c r="O62" s="4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41"/>
      <c r="AG62" s="11"/>
      <c r="AH62" s="41" t="s">
        <v>164</v>
      </c>
      <c r="AI62" s="12"/>
      <c r="AK62" s="69"/>
      <c r="AL62" s="62">
        <v>150</v>
      </c>
      <c r="AM62" s="17">
        <f>AM61-AP61*AM59</f>
        <v>9</v>
      </c>
      <c r="AN62" s="17">
        <f>AN61-AN59*AQ61</f>
        <v>24.799999999999997</v>
      </c>
      <c r="AO62" s="17">
        <v>100</v>
      </c>
      <c r="AP62" s="6">
        <f>ROUNDDOWN(AM62/AM59,0)</f>
        <v>0</v>
      </c>
      <c r="AQ62" s="6">
        <f>ROUNDDOWN(AN62/AN59,0)</f>
        <v>0</v>
      </c>
      <c r="AR62" s="42">
        <f t="shared" ref="AR62:AR64" si="6">AP62*AQ62</f>
        <v>0</v>
      </c>
      <c r="AS62" s="17"/>
    </row>
    <row r="63" spans="15:45" s="62" customFormat="1">
      <c r="O63" s="4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41"/>
      <c r="AG63" s="11"/>
      <c r="AH63" s="41"/>
      <c r="AI63" s="12">
        <f>IFERROR(AS63*AK61,0)</f>
        <v>60000</v>
      </c>
      <c r="AJ63" s="62" t="s">
        <v>174</v>
      </c>
      <c r="AK63" s="69">
        <f>AG61</f>
        <v>15000</v>
      </c>
      <c r="AM63" s="42">
        <v>100</v>
      </c>
      <c r="AN63" s="70">
        <v>150</v>
      </c>
      <c r="AO63" s="6"/>
      <c r="AP63" s="6">
        <f>ROUNDDOWN(AM63/AM59,0)</f>
        <v>2</v>
      </c>
      <c r="AQ63" s="6">
        <f>ROUNDDOWN(AN63/AN59,0)</f>
        <v>3</v>
      </c>
      <c r="AR63" s="6">
        <f t="shared" si="6"/>
        <v>6</v>
      </c>
      <c r="AS63" s="17">
        <f>ROUNDUP((AG3+AI7)/(AR63+AR64),0)</f>
        <v>4</v>
      </c>
    </row>
    <row r="64" spans="15:45" s="62" customFormat="1">
      <c r="O64" s="4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41"/>
      <c r="AG64" s="11"/>
      <c r="AH64" s="41" t="s">
        <v>164</v>
      </c>
      <c r="AI64" s="12"/>
      <c r="AK64" s="69"/>
      <c r="AL64" s="62">
        <v>150</v>
      </c>
      <c r="AM64" s="17">
        <f>AM63-AP63*AN59</f>
        <v>24.799999999999997</v>
      </c>
      <c r="AN64" s="17">
        <f>AN63-AQ63*AM59</f>
        <v>9</v>
      </c>
      <c r="AO64" s="17">
        <v>100</v>
      </c>
      <c r="AP64" s="6">
        <f>ROUNDDOWN(IF(AM64&gt;AN64,AM64/AN59,AN64/AN59),0)</f>
        <v>0</v>
      </c>
      <c r="AQ64" s="6">
        <f>ROUNDDOWN(IF(AM64&gt;AN64,AL64/AM59,AO64/AM59),0)</f>
        <v>3</v>
      </c>
      <c r="AR64" s="6">
        <f t="shared" si="6"/>
        <v>0</v>
      </c>
      <c r="AS64" s="17"/>
    </row>
    <row r="65" spans="1:45" s="62" customFormat="1">
      <c r="O65" s="4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41"/>
      <c r="AG65" s="11"/>
      <c r="AH65" s="65" t="s">
        <v>161</v>
      </c>
      <c r="AI65" s="66">
        <f t="array" ref="AI65">MIN(IF(AI61:AI64&lt;&gt;0,AI61:AI64))</f>
        <v>60000</v>
      </c>
      <c r="AJ65" s="67" t="str">
        <f>VLOOKUP(AI65,AI61:AS64,2,0)</f>
        <v>1x1.5</v>
      </c>
      <c r="AK65" s="67"/>
      <c r="AL65" s="67"/>
      <c r="AM65" s="68"/>
      <c r="AN65" s="68"/>
      <c r="AO65" s="68"/>
      <c r="AP65" s="68"/>
      <c r="AQ65" s="68"/>
      <c r="AR65" s="68"/>
      <c r="AS65" s="68">
        <f>VLOOKUP(AI65,AI61:AS64,11,0)</f>
        <v>4</v>
      </c>
    </row>
    <row r="66" spans="1:45" s="62" customFormat="1">
      <c r="O66" s="4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41"/>
    </row>
    <row r="67" spans="1:45" s="62" customFormat="1">
      <c r="O67" s="4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41"/>
    </row>
    <row r="70" spans="1:45">
      <c r="A70" t="s">
        <v>61</v>
      </c>
      <c r="L70" s="3">
        <f>SUM(L88:L154)</f>
        <v>67142992.476000011</v>
      </c>
      <c r="AA70" s="12"/>
      <c r="AF70" t="s">
        <v>61</v>
      </c>
      <c r="AQ70" s="3">
        <f ca="1">SUM(AQ88:AQ154)</f>
        <v>1531379.3599999999</v>
      </c>
    </row>
    <row r="71" spans="1:45">
      <c r="A71" t="s">
        <v>62</v>
      </c>
      <c r="I71" s="9">
        <f>10%+'Bảng tính giá Tổng hợp'!E4</f>
        <v>0.25</v>
      </c>
      <c r="L71" s="3">
        <f>L70*I71</f>
        <v>16785748.119000003</v>
      </c>
      <c r="X71" s="59"/>
      <c r="AA71" s="12"/>
      <c r="AF71" t="s">
        <v>62</v>
      </c>
      <c r="AN71" s="9">
        <f>I71</f>
        <v>0.25</v>
      </c>
      <c r="AQ71" s="3">
        <f ca="1">AQ70*AN71</f>
        <v>382844.83999999997</v>
      </c>
    </row>
    <row r="72" spans="1:45">
      <c r="A72" t="s">
        <v>63</v>
      </c>
      <c r="L72" s="3">
        <f>L70+L71</f>
        <v>83928740.595000014</v>
      </c>
      <c r="AA72" s="12"/>
      <c r="AF72" t="s">
        <v>63</v>
      </c>
      <c r="AQ72" s="3">
        <f ca="1">AQ70+AQ71</f>
        <v>1914224.1999999997</v>
      </c>
    </row>
    <row r="73" spans="1:45">
      <c r="G73" t="s">
        <v>3</v>
      </c>
      <c r="AL73" t="s">
        <v>3</v>
      </c>
    </row>
    <row r="74" spans="1:45">
      <c r="A74" t="s">
        <v>68</v>
      </c>
      <c r="D74">
        <f>G4+(I4-M4)*2+K4*2+(I4+M4)*2+N4</f>
        <v>65.400000000000006</v>
      </c>
      <c r="E74">
        <f>H4*2+I4*2+I4-M4+N4</f>
        <v>68.300000000000011</v>
      </c>
      <c r="G74" s="3">
        <f>IF(B6="1x1",B3/C6+G7)</f>
        <v>10400</v>
      </c>
      <c r="L74" s="3">
        <f>D74/100*E74/100*G74*F7*J10</f>
        <v>24249472.416000005</v>
      </c>
      <c r="V74" s="12"/>
      <c r="AA74" s="12"/>
      <c r="AF74" t="s">
        <v>68</v>
      </c>
      <c r="AI74">
        <f>AM4+AN4*2</f>
        <v>29.6</v>
      </c>
      <c r="AJ74">
        <f>AL4+AN4*2</f>
        <v>39</v>
      </c>
      <c r="AL74" s="3" t="b">
        <f>IF(AG6="1x1",AG3/AH6+AL7)</f>
        <v>0</v>
      </c>
      <c r="AQ74" s="3">
        <f>AI74/100*AJ74/100*AL74*AK7*AO10</f>
        <v>0</v>
      </c>
    </row>
    <row r="75" spans="1:45">
      <c r="A75" t="s">
        <v>69</v>
      </c>
      <c r="D75">
        <f>E74</f>
        <v>68.300000000000011</v>
      </c>
      <c r="E75">
        <f>(G4+(I4-M4)*2+K4*2+(I4+M4)*2)*2+N4-(I4+M4)</f>
        <v>122.30000000000001</v>
      </c>
      <c r="G75" s="3" t="b">
        <f>IF(B6="1x2",B3/C6+G7)</f>
        <v>0</v>
      </c>
      <c r="L75" s="3">
        <f>D75/100*E75/100*G75*F7*J10</f>
        <v>0</v>
      </c>
      <c r="V75" s="12"/>
      <c r="AA75" s="12"/>
      <c r="AF75" t="s">
        <v>69</v>
      </c>
      <c r="AI75">
        <f>AJ74</f>
        <v>39</v>
      </c>
      <c r="AJ75">
        <f>AI74*2</f>
        <v>59.2</v>
      </c>
      <c r="AL75" s="3">
        <f>IF(AG6="1x2",AG3/AH6+AL7)</f>
        <v>100</v>
      </c>
      <c r="AQ75" s="3">
        <f>AI75/100*AJ75/100*AL75*AK7*AO10</f>
        <v>120519.36</v>
      </c>
    </row>
    <row r="76" spans="1:45">
      <c r="A76" t="s">
        <v>76</v>
      </c>
      <c r="D76">
        <f>D74</f>
        <v>65.400000000000006</v>
      </c>
      <c r="E76">
        <f>E74*2</f>
        <v>136.60000000000002</v>
      </c>
      <c r="G76" s="3" t="b">
        <f>IF(B6="1x2 Ngang",B3/C6+G7)</f>
        <v>0</v>
      </c>
      <c r="L76" s="3">
        <f>D76/100*E76/100*G76*F7*J10</f>
        <v>0</v>
      </c>
      <c r="V76" s="12"/>
      <c r="AA76" s="12"/>
      <c r="AF76" t="s">
        <v>76</v>
      </c>
      <c r="AI76">
        <f>AI74</f>
        <v>29.6</v>
      </c>
      <c r="AJ76">
        <f>AJ74*2</f>
        <v>78</v>
      </c>
      <c r="AL76" s="3" t="b">
        <f>IF(AG6="1x2 Ngang",AG3/AH6+AL7)</f>
        <v>0</v>
      </c>
      <c r="AQ76" s="3">
        <f>AI76/100*AJ76/100*AL76*AK7*AO10</f>
        <v>0</v>
      </c>
    </row>
    <row r="77" spans="1:45">
      <c r="A77" s="60" t="s">
        <v>70</v>
      </c>
      <c r="B77" s="60"/>
      <c r="C77" s="60"/>
      <c r="D77" s="60">
        <f>E74</f>
        <v>68.300000000000011</v>
      </c>
      <c r="E77" s="60">
        <f>(G4+(I4-M4)*2+K4*2+(I4+M4)*2)*3+N4-(I4+M4)*2</f>
        <v>179.20000000000002</v>
      </c>
      <c r="F77" s="60"/>
      <c r="G77" s="61" t="b">
        <f>IF(B6="1x3",B3/C6+G7)</f>
        <v>0</v>
      </c>
      <c r="H77" s="60"/>
      <c r="I77" s="60"/>
      <c r="J77" s="60"/>
      <c r="K77" s="60"/>
      <c r="L77" s="61">
        <f>D77/100*E77/100*G77*F7*J10</f>
        <v>0</v>
      </c>
      <c r="V77" s="12"/>
      <c r="AA77" s="12"/>
      <c r="AF77" t="s">
        <v>70</v>
      </c>
      <c r="AI77">
        <f>AJ74</f>
        <v>39</v>
      </c>
      <c r="AJ77">
        <f>AI74*3</f>
        <v>88.800000000000011</v>
      </c>
      <c r="AL77" s="3" t="b">
        <f>IF(AG6="1x3",AG3/AH6+AL7)</f>
        <v>0</v>
      </c>
      <c r="AQ77" s="3">
        <f>AI77/100*AJ77/100*AL77*AK7*AO10</f>
        <v>0</v>
      </c>
    </row>
    <row r="78" spans="1:45">
      <c r="A78" s="60" t="s">
        <v>77</v>
      </c>
      <c r="B78" s="60"/>
      <c r="C78" s="60"/>
      <c r="D78" s="60">
        <f>D74</f>
        <v>65.400000000000006</v>
      </c>
      <c r="E78" s="60">
        <f>E74*3</f>
        <v>204.90000000000003</v>
      </c>
      <c r="F78" s="60"/>
      <c r="G78" s="61" t="b">
        <f>IF(B6="1x3 Ngang",B3/C6+G7)</f>
        <v>0</v>
      </c>
      <c r="H78" s="60"/>
      <c r="I78" s="60"/>
      <c r="J78" s="60"/>
      <c r="K78" s="60"/>
      <c r="L78" s="61">
        <f>D78/100*E78/100*G78*F7*J10</f>
        <v>0</v>
      </c>
      <c r="V78" s="12"/>
      <c r="AA78" s="12"/>
      <c r="AF78" t="s">
        <v>77</v>
      </c>
      <c r="AI78">
        <f>AI74</f>
        <v>29.6</v>
      </c>
      <c r="AJ78">
        <f>AJ74*3</f>
        <v>117</v>
      </c>
      <c r="AL78" s="3" t="b">
        <f>IF(AG6="1x3 Ngang",AG3/AH6+AL7)</f>
        <v>0</v>
      </c>
      <c r="AQ78" s="3">
        <f>AI78/100*AJ78/100*AL78*AK7*AO10</f>
        <v>0</v>
      </c>
    </row>
    <row r="79" spans="1:45">
      <c r="A79" t="s">
        <v>71</v>
      </c>
      <c r="D79">
        <f>E75</f>
        <v>122.30000000000001</v>
      </c>
      <c r="E79">
        <f>E76</f>
        <v>136.60000000000002</v>
      </c>
      <c r="G79" s="3" t="b">
        <f>IF(B6="2x2",B3/C6+G7)</f>
        <v>0</v>
      </c>
      <c r="L79" s="3">
        <f>D79/100*E79/100*G79*F7*J10</f>
        <v>0</v>
      </c>
      <c r="V79" s="12"/>
      <c r="AA79" s="12"/>
      <c r="AF79" t="s">
        <v>71</v>
      </c>
      <c r="AI79">
        <f>AJ75</f>
        <v>59.2</v>
      </c>
      <c r="AJ79">
        <f>AJ76</f>
        <v>78</v>
      </c>
      <c r="AL79" s="3" t="b">
        <f>IF(AG6="2x2",AG3/AH6+AL7)</f>
        <v>0</v>
      </c>
      <c r="AQ79" s="3">
        <f>AI79/100*AJ79/100*AL79*AK7*AO10</f>
        <v>0</v>
      </c>
    </row>
    <row r="80" spans="1:45">
      <c r="A80" s="60" t="s">
        <v>72</v>
      </c>
      <c r="B80" s="60"/>
      <c r="C80" s="60"/>
      <c r="D80" s="60">
        <f>E76</f>
        <v>136.60000000000002</v>
      </c>
      <c r="E80" s="60">
        <f>E77</f>
        <v>179.20000000000002</v>
      </c>
      <c r="F80" s="60"/>
      <c r="G80" s="61" t="b">
        <f>IF(B6="2x3",B3/C6+G7)</f>
        <v>0</v>
      </c>
      <c r="H80" s="60"/>
      <c r="I80" s="60"/>
      <c r="J80" s="60"/>
      <c r="K80" s="60"/>
      <c r="L80" s="61">
        <f>D80/100*E80/100*G80*F7*J10</f>
        <v>0</v>
      </c>
      <c r="V80" s="12"/>
      <c r="AA80" s="12"/>
      <c r="AF80" t="s">
        <v>72</v>
      </c>
      <c r="AI80">
        <f>AJ76</f>
        <v>78</v>
      </c>
      <c r="AJ80">
        <f>AJ77</f>
        <v>88.800000000000011</v>
      </c>
      <c r="AL80" s="3" t="b">
        <f>IF(AG6="2x3",AG3/AH6+AL7)</f>
        <v>0</v>
      </c>
      <c r="AQ80" s="3">
        <f>AI80/100*AJ80/100*AL80*AK7*AO10</f>
        <v>0</v>
      </c>
    </row>
    <row r="81" spans="1:43">
      <c r="A81" s="60" t="s">
        <v>131</v>
      </c>
      <c r="B81" s="60"/>
      <c r="C81" s="60"/>
      <c r="D81" s="60">
        <f>E75</f>
        <v>122.30000000000001</v>
      </c>
      <c r="E81" s="60">
        <f>E78</f>
        <v>204.90000000000003</v>
      </c>
      <c r="F81" s="60"/>
      <c r="G81" s="61" t="b">
        <f>IF(B6="2x3 Ngang",B3/C6+G7)</f>
        <v>0</v>
      </c>
      <c r="H81" s="60"/>
      <c r="I81" s="60"/>
      <c r="J81" s="60"/>
      <c r="K81" s="60"/>
      <c r="L81" s="61">
        <f>D81/100*E81/100*G81*F7*J10</f>
        <v>0</v>
      </c>
      <c r="V81" s="12"/>
      <c r="AA81" s="12"/>
      <c r="AF81" t="s">
        <v>131</v>
      </c>
      <c r="AI81">
        <f>AJ75</f>
        <v>59.2</v>
      </c>
      <c r="AJ81">
        <f>AJ78</f>
        <v>117</v>
      </c>
      <c r="AL81" s="3" t="b">
        <f>IF(AG6="2x3 Ngang",AG3/AH6+AL7)</f>
        <v>0</v>
      </c>
      <c r="AQ81" s="3">
        <f>AI81/100*AJ81/100*AL81*AK7*AO10</f>
        <v>0</v>
      </c>
    </row>
    <row r="82" spans="1:43">
      <c r="A82" s="60" t="s">
        <v>75</v>
      </c>
      <c r="B82" s="73" t="s">
        <v>168</v>
      </c>
      <c r="C82" s="60"/>
      <c r="D82" s="60">
        <f>E76</f>
        <v>136.60000000000002</v>
      </c>
      <c r="E82" s="60">
        <f>(G4+(I4-M4)*2+K4*2+(I4+M4)*2)*4+N4-(I4+M4)*3</f>
        <v>236.09999999999997</v>
      </c>
      <c r="F82" s="60"/>
      <c r="G82" s="61" t="b">
        <f>IF(B6="2x4",B3/C6+G7)</f>
        <v>0</v>
      </c>
      <c r="H82" s="60"/>
      <c r="I82" s="60"/>
      <c r="J82" s="60"/>
      <c r="K82" s="60"/>
      <c r="L82" s="61">
        <f>D82/100*E82/100*G82*F7*J10</f>
        <v>0</v>
      </c>
      <c r="V82" s="12"/>
      <c r="AA82" s="12"/>
      <c r="AF82" t="s">
        <v>75</v>
      </c>
      <c r="AG82" s="73" t="s">
        <v>168</v>
      </c>
      <c r="AI82">
        <f>AJ76</f>
        <v>78</v>
      </c>
      <c r="AJ82">
        <f>AI74*4</f>
        <v>118.4</v>
      </c>
      <c r="AL82" s="3" t="b">
        <f>IF(AG6="2x4",AG3/AH6+AL7)</f>
        <v>0</v>
      </c>
      <c r="AQ82" s="3">
        <f>AI82/100*AJ82/100*AL82*AK7*AO10</f>
        <v>0</v>
      </c>
    </row>
    <row r="83" spans="1:43" s="62" customFormat="1">
      <c r="A83" s="72" t="s">
        <v>166</v>
      </c>
      <c r="B83" s="60"/>
      <c r="C83" s="60"/>
      <c r="D83" s="60">
        <f>E75</f>
        <v>122.30000000000001</v>
      </c>
      <c r="E83" s="60">
        <f>E79*2</f>
        <v>273.20000000000005</v>
      </c>
      <c r="F83" s="60"/>
      <c r="G83" s="3" t="b">
        <f>IF(B6="2x4 Ngang",B3/C6+G7)</f>
        <v>0</v>
      </c>
      <c r="H83" s="60"/>
      <c r="I83" s="60"/>
      <c r="J83" s="60"/>
      <c r="K83" s="60"/>
      <c r="L83" s="61">
        <f>D83/100*E83/100*G83*F7*J10</f>
        <v>0</v>
      </c>
      <c r="O83" s="41"/>
      <c r="P83" s="11"/>
      <c r="Q83" s="11"/>
      <c r="R83" s="11"/>
      <c r="S83" s="11"/>
      <c r="T83" s="11"/>
      <c r="U83" s="11"/>
      <c r="V83" s="12"/>
      <c r="W83" s="11"/>
      <c r="X83" s="11"/>
      <c r="Y83" s="11"/>
      <c r="Z83" s="11"/>
      <c r="AA83" s="12"/>
      <c r="AB83" s="11"/>
      <c r="AC83" s="11"/>
      <c r="AD83" s="11"/>
      <c r="AE83" s="41"/>
      <c r="AF83" s="62" t="s">
        <v>166</v>
      </c>
      <c r="AI83" s="62">
        <f>AJ75</f>
        <v>59.2</v>
      </c>
      <c r="AJ83" s="62">
        <f>AJ74*4</f>
        <v>156</v>
      </c>
      <c r="AL83" s="3" t="b">
        <f>IF(AG6="2x4 Ngang",AG3/AH6+AL7)</f>
        <v>0</v>
      </c>
      <c r="AQ83" s="3">
        <f>AI83/100*AJ83/100*AL83*AK7*AO10</f>
        <v>0</v>
      </c>
    </row>
    <row r="84" spans="1:43">
      <c r="A84" s="60" t="s">
        <v>73</v>
      </c>
      <c r="B84" s="60"/>
      <c r="C84" s="60"/>
      <c r="D84" s="60">
        <f>E77</f>
        <v>179.20000000000002</v>
      </c>
      <c r="E84" s="60">
        <f>E78</f>
        <v>204.90000000000003</v>
      </c>
      <c r="F84" s="60"/>
      <c r="G84" s="61" t="b">
        <f>IF(B6="3x3",B3/C6+G7)</f>
        <v>0</v>
      </c>
      <c r="H84" s="60"/>
      <c r="I84" s="60"/>
      <c r="J84" s="60"/>
      <c r="K84" s="60"/>
      <c r="L84" s="61">
        <f>D84/100*E84/100*G84*F7*J10</f>
        <v>0</v>
      </c>
      <c r="V84" s="12"/>
      <c r="AA84" s="12"/>
      <c r="AF84" t="s">
        <v>73</v>
      </c>
      <c r="AI84">
        <f>AJ77</f>
        <v>88.800000000000011</v>
      </c>
      <c r="AJ84">
        <f>AJ78</f>
        <v>117</v>
      </c>
      <c r="AL84" s="3" t="b">
        <f>IF(AG6="3x3",AG3/AH6+AL7)</f>
        <v>0</v>
      </c>
      <c r="AQ84" s="3">
        <f>AI84/100*AJ84/100*AL84*AK7*AO10</f>
        <v>0</v>
      </c>
    </row>
    <row r="85" spans="1:43">
      <c r="A85" s="60" t="s">
        <v>74</v>
      </c>
      <c r="B85" s="60"/>
      <c r="C85" s="60"/>
      <c r="D85" s="60">
        <f>E78</f>
        <v>204.90000000000003</v>
      </c>
      <c r="E85" s="60">
        <f>E82</f>
        <v>236.09999999999997</v>
      </c>
      <c r="F85" s="60"/>
      <c r="G85" s="61" t="b">
        <f>IF(B6="3x4",B3/C6+G7)</f>
        <v>0</v>
      </c>
      <c r="H85" s="60"/>
      <c r="I85" s="60"/>
      <c r="J85" s="60"/>
      <c r="K85" s="60"/>
      <c r="L85" s="61">
        <f>D85/100*E85/100*G85*F7*J10</f>
        <v>0</v>
      </c>
      <c r="V85" s="12"/>
      <c r="AA85" s="12"/>
      <c r="AF85" t="s">
        <v>74</v>
      </c>
      <c r="AI85">
        <f>AJ78</f>
        <v>117</v>
      </c>
      <c r="AJ85">
        <f>AJ82</f>
        <v>118.4</v>
      </c>
      <c r="AL85" s="3" t="b">
        <f>IF(AG6="3x4",AG3/AH6+AL7)</f>
        <v>0</v>
      </c>
      <c r="AQ85" s="3">
        <f>AI85/100*AJ85/100*AL85*AK7*AO10</f>
        <v>0</v>
      </c>
    </row>
    <row r="86" spans="1:43" s="62" customFormat="1">
      <c r="A86" s="72" t="s">
        <v>167</v>
      </c>
      <c r="B86" s="60"/>
      <c r="C86" s="60"/>
      <c r="D86" s="60">
        <f>D84</f>
        <v>179.20000000000002</v>
      </c>
      <c r="E86" s="60">
        <f>E83</f>
        <v>273.20000000000005</v>
      </c>
      <c r="F86" s="60"/>
      <c r="G86" s="3" t="b">
        <f>IF(B6="3x4 Ngang",B3/C6+G7)</f>
        <v>0</v>
      </c>
      <c r="H86" s="60"/>
      <c r="I86" s="60"/>
      <c r="J86" s="60"/>
      <c r="K86" s="60"/>
      <c r="L86" s="61">
        <f>D86/100*E86/100*G86*F7*J10</f>
        <v>0</v>
      </c>
      <c r="O86" s="41"/>
      <c r="P86" s="11"/>
      <c r="Q86" s="11"/>
      <c r="R86" s="11"/>
      <c r="S86" s="11"/>
      <c r="T86" s="11"/>
      <c r="U86" s="11"/>
      <c r="V86" s="12"/>
      <c r="W86" s="11"/>
      <c r="X86" s="11"/>
      <c r="Y86" s="11"/>
      <c r="Z86" s="11"/>
      <c r="AA86" s="12"/>
      <c r="AB86" s="11"/>
      <c r="AC86" s="11"/>
      <c r="AD86" s="11"/>
      <c r="AE86" s="41"/>
      <c r="AF86" s="62" t="s">
        <v>167</v>
      </c>
      <c r="AI86" s="62">
        <f>AJ77</f>
        <v>88.800000000000011</v>
      </c>
      <c r="AJ86" s="62">
        <f>AJ83</f>
        <v>156</v>
      </c>
      <c r="AL86" s="3" t="b">
        <f>IF(AG6="3x4 Ngang",AG3/AH6+AL7)</f>
        <v>0</v>
      </c>
      <c r="AQ86" s="3">
        <f>AI86/100*AJ86/100*AL86*AK7*AO10</f>
        <v>0</v>
      </c>
    </row>
    <row r="87" spans="1:43">
      <c r="G87" s="3"/>
      <c r="L87" s="3"/>
      <c r="V87" s="12"/>
      <c r="AA87" s="12"/>
      <c r="AL87" s="3"/>
      <c r="AQ87" s="3"/>
    </row>
    <row r="88" spans="1:43">
      <c r="A88" s="10" t="s">
        <v>122</v>
      </c>
      <c r="B88" s="10"/>
      <c r="C88" s="10"/>
      <c r="D88">
        <f>IF(B6="1x1",D74,IF(B6="1x2",D75,IF(B6="1x3",D77,IF(B6="2x2",D79,IF(B6="2x3",D80,IF(B6="2x4",D82,IF(B6="3x3",D84,IF(B6="3x4",D85,IF(B6="1x2 Ngang",D76,IF(B6="1x3 Ngang",D78,IF(B6="2x3 Ngang",D81,IF(B6="2x4 Ngang",D83,IF(B6="3x4 Ngang",D86)))))))))))))</f>
        <v>65.400000000000006</v>
      </c>
      <c r="E88">
        <f>IF(B6="1x1",E74,IF(B6="1x2",E75,IF(B6="1x3",E77,IF(B6="2x2",E79,IF(B6="2x3",E80,IF(B6="2x4",E82,IF(B6="3x3",E84,IF(B6="3x4",E85,IF(B6="1x2 Ngang",E76,IF(B6="1x3 Ngang",E78,IF(B6="2x3 Ngang",E81,IF(B6="2x4 Ngang",E83,IF(B6="3x4 Ngang",E86)))))))))))))</f>
        <v>68.300000000000011</v>
      </c>
      <c r="G88" s="3">
        <f>(B3/C6)+G7</f>
        <v>10400</v>
      </c>
      <c r="L88" s="3">
        <f>IF(D89="",D88/100*E88/100*G88*F7*J10,IF(D89=0,D88/100*E88/100*G88*F7*J10,0))</f>
        <v>0</v>
      </c>
      <c r="V88" s="12"/>
      <c r="AA88" s="12"/>
      <c r="AF88" s="10" t="s">
        <v>122</v>
      </c>
      <c r="AG88" s="10"/>
      <c r="AH88" s="10"/>
      <c r="AI88" s="62">
        <f>IF(AG6="1x1",AI74,IF(AG6="1x2",AI75,IF(AG6="1x3",AI77,IF(AG6="2x2",AI79,IF(AG6="2x3",AI80,IF(AG6="2x4",AI82,IF(AG6="3x3",AI84,IF(AG6="3x4",AI85,IF(AG6="1x2 Ngang",AI76,IF(AG6="1x3 Ngang",AI78,IF(AG6="2x3 Ngang",AI81,IF(AG6="2x4 Ngang",AI83,IF(AG6="3x4 Ngang",AI86)))))))))))))</f>
        <v>39</v>
      </c>
      <c r="AJ88" s="62">
        <f>IF(AG6="1x1",AJ74,IF(AG6="1x2",AJ75,IF(AG6="1x3",AJ77,IF(AG6="2x2",AJ79,IF(AG6="2x3",AJ80,IF(AG6="2x4",AJ82,IF(AG6="3x3",AJ84,IF(AG6="3x4",AJ85,IF(AG6="1x2 Ngang",AJ76,IF(AG6="1x3 Ngang",AJ78,IF(AG6="2x3 Ngang",AJ81,IF(AG6="2x4 Ngang",AJ83,IF(AG6="3x4 Ngang",AJ86)))))))))))))</f>
        <v>59.2</v>
      </c>
      <c r="AL88" s="3">
        <f>(AG3/AH6)+AL7</f>
        <v>100</v>
      </c>
      <c r="AQ88" s="3">
        <f>IF(AI89="",AI88/100*AJ88/100*AL88*AK7*AO10,IF(AI89=0,AI88/100*AJ88/100*AL88*AK7*AO10,0))</f>
        <v>0</v>
      </c>
    </row>
    <row r="89" spans="1:43">
      <c r="A89" s="7" t="s">
        <v>123</v>
      </c>
      <c r="D89" s="7">
        <f>'Bảng tính giá Tổng hợp'!C21</f>
        <v>65.400000000000006</v>
      </c>
      <c r="E89" s="7">
        <f>'Bảng tính giá Tổng hợp'!D21</f>
        <v>68.300000000000011</v>
      </c>
      <c r="G89" s="3">
        <f>G88</f>
        <v>10400</v>
      </c>
      <c r="L89" s="3">
        <f>D89/100*E89/100*G89*F7*J10</f>
        <v>24249472.416000005</v>
      </c>
      <c r="V89" s="12"/>
      <c r="AA89" s="12"/>
      <c r="AF89" s="7" t="s">
        <v>123</v>
      </c>
      <c r="AI89" s="7">
        <f>'Bảng tính giá Tổng hợp'!M21</f>
        <v>39</v>
      </c>
      <c r="AJ89" s="7">
        <f>'Bảng tính giá Tổng hợp'!N21</f>
        <v>59.2</v>
      </c>
      <c r="AL89" s="3">
        <f>AL88</f>
        <v>100</v>
      </c>
      <c r="AQ89" s="3">
        <f>IF(OR(AG4="Không",AG4=0),0,AI89/100*AJ89/100*AL89*AK7*AO10)</f>
        <v>120519.36</v>
      </c>
    </row>
    <row r="90" spans="1:43">
      <c r="A90" s="10" t="s">
        <v>0</v>
      </c>
      <c r="B90" s="10"/>
      <c r="C90" s="10"/>
      <c r="D90">
        <f>IF(K7=10,60,IF(K7=12,64.5,IF(K7=16,83,IF(K7=8,56,IF(K7="UV",60)))))</f>
        <v>83</v>
      </c>
      <c r="E90">
        <f>IF(D90=56,67,IF(D90=64.5,83,IF(D90=83,103,IF(D90=60,73))))</f>
        <v>103</v>
      </c>
      <c r="G90">
        <f>L7*M7</f>
        <v>4</v>
      </c>
      <c r="I90" s="3">
        <v>13</v>
      </c>
      <c r="L90" s="3">
        <f>D90*E90*G90*I90</f>
        <v>444548</v>
      </c>
      <c r="X90" s="12"/>
      <c r="AA90" s="12"/>
      <c r="AF90" s="10" t="s">
        <v>0</v>
      </c>
      <c r="AG90" s="10"/>
      <c r="AH90" s="10"/>
      <c r="AI90">
        <f ca="1">IF(AP7=10,60,IF(AP7=12,64.5,IF(AP7=16,83,IF(AP7=8,56,IF(AP7="UV",60)))))</f>
        <v>60</v>
      </c>
      <c r="AJ90">
        <f ca="1">IF(AI90=56,67,IF(AI90=64.5,83,IF(AI90=83,103,IF(AI90=60,73))))</f>
        <v>73</v>
      </c>
      <c r="AL90">
        <f>IF(OR(AG4="Không",AG4=0),0,AQ7*AR7)</f>
        <v>1</v>
      </c>
      <c r="AN90" s="3">
        <v>13</v>
      </c>
      <c r="AQ90" s="3">
        <f ca="1">AI90*AJ90*AL90*AN90</f>
        <v>56940</v>
      </c>
    </row>
    <row r="91" spans="1:43">
      <c r="A91" t="s">
        <v>107</v>
      </c>
      <c r="D91">
        <f>IF(K7=10,60,IF(K7=12,64.5,IF(K7=16,83,IF(K7=8,56,IF(K7="UV",60)))))</f>
        <v>83</v>
      </c>
      <c r="E91">
        <f>IF(D90=56,67,IF(D90=64.5,83,IF(D90=83,103,IF(D90=60,73))))</f>
        <v>103</v>
      </c>
      <c r="G91">
        <f>B11</f>
        <v>0</v>
      </c>
      <c r="I91" s="3"/>
      <c r="L91" s="3">
        <f>D91*E91*G91*I91</f>
        <v>0</v>
      </c>
      <c r="X91" s="12"/>
      <c r="AA91" s="12"/>
      <c r="AF91" s="75" t="s">
        <v>107</v>
      </c>
      <c r="AG91" s="75"/>
      <c r="AH91" s="75"/>
      <c r="AI91" s="75">
        <f ca="1">IF(AP7=10,60,IF(AP7=12,64.5,IF(AP7=16,83,IF(AP7=8,56,IF(AP7="UV",60)))))</f>
        <v>60</v>
      </c>
      <c r="AJ91" s="75">
        <f ca="1">IF(AI90=56,67,IF(AI90=64.5,83,IF(AI90=83,103,IF(AI90=60,73))))</f>
        <v>73</v>
      </c>
      <c r="AK91" s="75"/>
      <c r="AL91" s="75">
        <f>AG11</f>
        <v>0</v>
      </c>
      <c r="AM91" s="75"/>
      <c r="AN91" s="76"/>
      <c r="AO91" s="75"/>
      <c r="AP91" s="75"/>
      <c r="AQ91" s="76">
        <f ca="1">AI91*AJ91*AL91*AN91</f>
        <v>0</v>
      </c>
    </row>
    <row r="92" spans="1:43">
      <c r="A92" s="10" t="s">
        <v>127</v>
      </c>
      <c r="B92" s="10"/>
      <c r="C92" s="10"/>
      <c r="G92">
        <f>G90</f>
        <v>4</v>
      </c>
      <c r="I92" s="3">
        <f>IF(G88&lt;=1000+G7,H10,IF(G88&gt;1000+G7,H10+(G88-1000-G7)*I10))</f>
        <v>950000</v>
      </c>
      <c r="L92" s="3">
        <f>G92*I92</f>
        <v>3800000</v>
      </c>
      <c r="X92" s="12"/>
      <c r="AA92" s="12"/>
      <c r="AF92" s="10" t="s">
        <v>127</v>
      </c>
      <c r="AG92" s="10"/>
      <c r="AH92" s="10"/>
      <c r="AL92">
        <f>AL90</f>
        <v>1</v>
      </c>
      <c r="AN92" s="3">
        <f ca="1">IF(AL88&lt;=1000+AL7,AM10,IF(AL88&gt;1000+AL7,AM10+(AL88-1000-AL7)*AN10))</f>
        <v>100000</v>
      </c>
      <c r="AQ92" s="3">
        <f ca="1">AL92*AN92</f>
        <v>100000</v>
      </c>
    </row>
    <row r="93" spans="1:43">
      <c r="A93" t="s">
        <v>106</v>
      </c>
      <c r="G93">
        <f>G91</f>
        <v>0</v>
      </c>
      <c r="I93" s="3">
        <f>IF(G88&lt;=1000+G7,H12,IF(G88&gt;1000+G7,H12+(G88-1000-G7)*I12))</f>
        <v>1150000</v>
      </c>
      <c r="L93" s="3">
        <f>G93*I93</f>
        <v>0</v>
      </c>
      <c r="X93" s="12"/>
      <c r="AA93" s="12"/>
      <c r="AF93" s="75" t="s">
        <v>106</v>
      </c>
      <c r="AG93" s="75"/>
      <c r="AH93" s="75"/>
      <c r="AI93" s="75"/>
      <c r="AJ93" s="75"/>
      <c r="AK93" s="75"/>
      <c r="AL93" s="75">
        <f>AL91</f>
        <v>0</v>
      </c>
      <c r="AM93" s="75"/>
      <c r="AN93" s="76">
        <f ca="1">IF(AL88&lt;=1000+AL7,AM12,IF(AL88&gt;1000+AL7,AM12+(AL88-1000-AL7)*AN12))</f>
        <v>150000</v>
      </c>
      <c r="AO93" s="75"/>
      <c r="AP93" s="75"/>
      <c r="AQ93" s="76">
        <f ca="1">AL93*AN93</f>
        <v>0</v>
      </c>
    </row>
    <row r="94" spans="1:43">
      <c r="A94" s="10" t="s">
        <v>1</v>
      </c>
      <c r="B94" s="10"/>
      <c r="C94" s="10"/>
      <c r="D94">
        <f>IF(L89&lt;2000000,D89,D88)</f>
        <v>65.400000000000006</v>
      </c>
      <c r="E94">
        <f>IF(L89&lt;2000000,E89,E88)</f>
        <v>68.300000000000011</v>
      </c>
      <c r="G94" s="3">
        <f>G88-G7/2</f>
        <v>10200</v>
      </c>
      <c r="I94" s="4">
        <f>G10</f>
        <v>0.22</v>
      </c>
      <c r="L94" s="3">
        <f>IF(D94*E94*G94*I94&lt;100000,100000,D94*E94*G94*I94)</f>
        <v>10023544.080000004</v>
      </c>
      <c r="V94" s="12"/>
      <c r="X94" s="13"/>
      <c r="AA94" s="12"/>
      <c r="AF94" s="10" t="s">
        <v>1</v>
      </c>
      <c r="AG94" s="10"/>
      <c r="AH94" s="10"/>
      <c r="AI94">
        <f>IF(AQ89&lt;2000000,AI89,AI88)</f>
        <v>39</v>
      </c>
      <c r="AJ94">
        <f>IF(AQ89&lt;2000000,AJ89,AJ88)</f>
        <v>59.2</v>
      </c>
      <c r="AL94" s="3">
        <f>AL88-AL7/2</f>
        <v>50</v>
      </c>
      <c r="AN94" s="4">
        <f>AL10</f>
        <v>0.22</v>
      </c>
      <c r="AQ94" s="3">
        <f>IF(OR(AG4="Không",AG4=0),0,IF(AI94*AJ94*AL94*AN94&lt;100000,100000,AI94*AJ94*AL94*AN94))</f>
        <v>100000</v>
      </c>
    </row>
    <row r="95" spans="1:43">
      <c r="A95" s="10" t="s">
        <v>108</v>
      </c>
      <c r="B95" s="10"/>
      <c r="C95" s="10"/>
      <c r="D95">
        <f>D94</f>
        <v>65.400000000000006</v>
      </c>
      <c r="E95">
        <f>E94</f>
        <v>68.300000000000011</v>
      </c>
      <c r="G95" s="3">
        <f>G88-G8/2</f>
        <v>10400</v>
      </c>
      <c r="I95" s="4">
        <v>0.22</v>
      </c>
      <c r="L95" s="3" t="b">
        <f>IF(B12="Có",IF(D95*E95*G95*I95&lt;100000,100000,D95*E95*G95*I95))</f>
        <v>0</v>
      </c>
      <c r="V95" s="12"/>
      <c r="X95" s="13"/>
      <c r="AA95" s="12"/>
      <c r="AF95" s="75" t="s">
        <v>108</v>
      </c>
      <c r="AG95" s="75"/>
      <c r="AH95" s="75"/>
      <c r="AI95" s="75">
        <f>AI94</f>
        <v>39</v>
      </c>
      <c r="AJ95" s="75">
        <f>AJ94</f>
        <v>59.2</v>
      </c>
      <c r="AK95" s="75"/>
      <c r="AL95" s="76">
        <f>AL88-AL8/2</f>
        <v>100</v>
      </c>
      <c r="AM95" s="75"/>
      <c r="AN95" s="77">
        <v>0.22</v>
      </c>
      <c r="AO95" s="75"/>
      <c r="AP95" s="75"/>
      <c r="AQ95" s="76" t="b">
        <f>IF(AG12="Có",IF(AI95*AJ95*AL95*AN95&lt;100000,100000,AI95*AJ95*AL95*AN95))</f>
        <v>0</v>
      </c>
    </row>
    <row r="96" spans="1:43">
      <c r="A96" t="s">
        <v>78</v>
      </c>
      <c r="D96">
        <f>D94</f>
        <v>65.400000000000006</v>
      </c>
      <c r="E96">
        <f>E94</f>
        <v>68.300000000000011</v>
      </c>
      <c r="G96" s="3">
        <f>G88</f>
        <v>10400</v>
      </c>
      <c r="I96" s="4" t="b">
        <f>N10</f>
        <v>0</v>
      </c>
      <c r="L96" s="3">
        <f>IF(D96*E96*G96*I96=0,0,IF(D96*E96*G96*I96&lt;100000,100000,D96*E96*G96*I96))</f>
        <v>0</v>
      </c>
      <c r="V96" s="12"/>
      <c r="X96" s="13"/>
      <c r="AA96" s="12"/>
      <c r="AF96" t="s">
        <v>78</v>
      </c>
      <c r="AI96">
        <f>AI94</f>
        <v>39</v>
      </c>
      <c r="AJ96">
        <f>AJ94</f>
        <v>59.2</v>
      </c>
      <c r="AL96" s="3">
        <f>AL88</f>
        <v>100</v>
      </c>
      <c r="AN96" s="4" t="b">
        <f>AS10</f>
        <v>0</v>
      </c>
      <c r="AQ96" s="3">
        <f>IF(AI96*AJ96*AL96*AN96=0,0,IF(AI96*AJ96*AL96*AN96&lt;100000,100000,AI96*AJ96*AL96*AN96))</f>
        <v>0</v>
      </c>
    </row>
    <row r="97" spans="1:43">
      <c r="A97" s="10" t="s">
        <v>119</v>
      </c>
      <c r="B97" s="10"/>
      <c r="C97" s="10"/>
      <c r="D97">
        <f>ROUNDUP(D88,0)</f>
        <v>66</v>
      </c>
      <c r="E97" s="62">
        <f>ROUNDUP(E88,0)</f>
        <v>69</v>
      </c>
      <c r="G97" s="3">
        <f>B3/C6+I7</f>
        <v>10300</v>
      </c>
      <c r="I97" s="4"/>
      <c r="L97" s="3">
        <f>D97/100*E97/100*G97*H7*K10</f>
        <v>17824356</v>
      </c>
      <c r="V97" s="12"/>
      <c r="X97" s="13"/>
      <c r="AA97" s="12"/>
      <c r="AF97" s="10" t="s">
        <v>119</v>
      </c>
      <c r="AG97" s="10"/>
      <c r="AH97" s="10"/>
      <c r="AI97" s="62">
        <f>ROUNDUP(AI88,0)</f>
        <v>39</v>
      </c>
      <c r="AJ97" s="62">
        <f>ROUNDUP(AJ88,0)</f>
        <v>60</v>
      </c>
      <c r="AL97" s="3">
        <f>AG3/AH6+AN7</f>
        <v>100</v>
      </c>
      <c r="AN97" s="4"/>
      <c r="AQ97" s="3">
        <f>AI97/100*AJ97/100*AL97*AM7*AP10</f>
        <v>88920.000000000015</v>
      </c>
    </row>
    <row r="98" spans="1:43">
      <c r="A98" t="s">
        <v>120</v>
      </c>
      <c r="D98">
        <f>D94</f>
        <v>65.400000000000006</v>
      </c>
      <c r="E98">
        <f>E94</f>
        <v>68.300000000000011</v>
      </c>
      <c r="G98" s="3">
        <f>G97</f>
        <v>10300</v>
      </c>
      <c r="I98" s="8">
        <f>IF(OR(B9="Không",B9=0),0,IF(AND(B9=""),0,L10))</f>
        <v>1300</v>
      </c>
      <c r="L98" s="3">
        <f>IF(D98/100*E98/100*G98*I98=0,0,IF(D98/100*E98/100*G98*I98&lt;150000,150000,D98/100*E98/100*G98*I98))</f>
        <v>5981071.9800000014</v>
      </c>
      <c r="V98" s="12"/>
      <c r="X98" s="12"/>
      <c r="AA98" s="12"/>
      <c r="AF98" t="s">
        <v>120</v>
      </c>
      <c r="AI98">
        <f>AI94</f>
        <v>39</v>
      </c>
      <c r="AJ98">
        <f>AJ94</f>
        <v>59.2</v>
      </c>
      <c r="AL98" s="3">
        <f>AL97</f>
        <v>100</v>
      </c>
      <c r="AN98" s="8">
        <f>IF(OR(AG9="Không",AG9=0),0,IF(AND(AG9=""),0,AQ10))</f>
        <v>1300</v>
      </c>
      <c r="AQ98" s="3">
        <f>IF(AI98/100*AJ98/100*AL98*AN98=0,0,IF(AI98/100*AJ98/100*AL98*AN98&lt;150000,150000,AI98/100*AJ98/100*AL98*AN98))</f>
        <v>150000</v>
      </c>
    </row>
    <row r="99" spans="1:43">
      <c r="A99" s="10" t="s">
        <v>104</v>
      </c>
      <c r="B99" s="10"/>
      <c r="C99" s="10"/>
      <c r="G99" s="3">
        <f>B3</f>
        <v>10000</v>
      </c>
      <c r="I99" s="4" t="b">
        <f>IF(B7="Dù",400,IF(B7="Tơ bóng",1000,IF(B7="Lụa",800)))</f>
        <v>0</v>
      </c>
      <c r="L99" s="3">
        <f>IF(G99*I99=0,0,IF(G99*I99&lt;100000,100000,G99*I99))</f>
        <v>0</v>
      </c>
      <c r="V99" s="12"/>
      <c r="X99" s="13"/>
      <c r="AA99" s="12"/>
      <c r="AF99" s="75" t="s">
        <v>104</v>
      </c>
      <c r="AG99" s="75"/>
      <c r="AH99" s="75"/>
      <c r="AI99" s="75"/>
      <c r="AJ99" s="75"/>
      <c r="AK99" s="75"/>
      <c r="AL99" s="76">
        <f>AG3</f>
        <v>0</v>
      </c>
      <c r="AM99" s="75"/>
      <c r="AN99" s="77" t="b">
        <f>IF(AG7="Dù",400,IF(AG7="Tơ bóng",1000,IF(AG7="Lụa",800)))</f>
        <v>0</v>
      </c>
      <c r="AO99" s="75"/>
      <c r="AP99" s="75"/>
      <c r="AQ99" s="76">
        <f>IF(AL99*AN99=0,0,IF(AL99*AN99&lt;100000,100000,AL99*AN99))</f>
        <v>0</v>
      </c>
    </row>
    <row r="100" spans="1:43">
      <c r="A100" t="s">
        <v>60</v>
      </c>
      <c r="G100">
        <v>1</v>
      </c>
      <c r="I100" s="3">
        <f>IF(350000*C6&lt;500000,500000,400000*C6)</f>
        <v>500000</v>
      </c>
      <c r="L100" s="3">
        <f>G100*I100</f>
        <v>500000</v>
      </c>
      <c r="X100" s="12"/>
      <c r="AA100" s="12"/>
      <c r="AF100" s="7" t="s">
        <v>60</v>
      </c>
      <c r="AG100" s="62"/>
      <c r="AH100" s="62"/>
      <c r="AI100" s="62"/>
      <c r="AJ100" s="62"/>
      <c r="AK100" s="62"/>
      <c r="AL100" s="62">
        <v>1</v>
      </c>
      <c r="AM100" s="62"/>
      <c r="AN100" s="3">
        <f>IF(120000*AH6&lt;250000,250000,120000*AH6)</f>
        <v>250000</v>
      </c>
      <c r="AO100" s="62"/>
      <c r="AP100" s="62"/>
      <c r="AQ100" s="3">
        <f>AL100*AN100</f>
        <v>250000</v>
      </c>
    </row>
    <row r="101" spans="1:43">
      <c r="A101" s="10" t="s">
        <v>58</v>
      </c>
      <c r="B101" s="10"/>
      <c r="C101" s="10"/>
      <c r="G101" s="3">
        <f>G88-G7/2</f>
        <v>10200</v>
      </c>
      <c r="I101" s="3">
        <f>F10</f>
        <v>350</v>
      </c>
      <c r="L101" s="3">
        <f>IF(B9="Không",IF(G101*I101&lt;300000,300000,G101*I101),IF(G101*I101&lt;500000,500000,G101*I101))</f>
        <v>3570000</v>
      </c>
      <c r="V101" s="12"/>
      <c r="X101" s="12"/>
      <c r="AA101" s="12"/>
      <c r="AF101" s="10" t="s">
        <v>58</v>
      </c>
      <c r="AG101" s="10"/>
      <c r="AH101" s="10"/>
      <c r="AL101" s="3">
        <f>AL88-AL7/2</f>
        <v>50</v>
      </c>
      <c r="AN101" s="3">
        <f>AK10</f>
        <v>500</v>
      </c>
      <c r="AQ101" s="3">
        <f>IF(OR(AG4="Không",AG4=0),0,IF(AG9="Không",IF(AL101*AN101&lt;300000,300000,AL101*AN101),IF(AL101*AN101&lt;500000,500000,AL101*AN101)))</f>
        <v>500000</v>
      </c>
    </row>
    <row r="102" spans="1:43">
      <c r="A102" s="11" t="s">
        <v>86</v>
      </c>
      <c r="I102" s="3" t="b">
        <f>IF(B15="Có",1200)</f>
        <v>0</v>
      </c>
      <c r="L102" s="3">
        <f>IF(B15=0,0,IF(G15*H15*I102*I15&lt;120000,120000,G15*H15*I102*I15))</f>
        <v>0</v>
      </c>
      <c r="X102" s="12"/>
      <c r="AA102" s="12"/>
      <c r="AF102" s="11" t="s">
        <v>86</v>
      </c>
      <c r="AN102" s="3" t="b">
        <f>IF(AG15="Có",1200)</f>
        <v>0</v>
      </c>
      <c r="AQ102" s="3">
        <f>IF(AG15=0,0,IF(AL15*AM15*AN102*AN15&lt;120000,120000,AL15*AM15*AN102*AN15))</f>
        <v>0</v>
      </c>
    </row>
    <row r="103" spans="1:43">
      <c r="A103" s="10" t="s">
        <v>87</v>
      </c>
      <c r="B103" s="10"/>
      <c r="C103" s="10"/>
      <c r="I103" s="3" t="b">
        <f t="shared" ref="I103:I104" si="7">IF(B16="Có",1200)</f>
        <v>0</v>
      </c>
      <c r="L103" s="3">
        <f>IF(B16=0,0,IF(G16*H16*I103*I16&lt;120000,120000,G16*H16*I103*I16))</f>
        <v>0</v>
      </c>
      <c r="X103" s="12"/>
      <c r="AA103" s="12"/>
      <c r="AF103" s="10" t="s">
        <v>87</v>
      </c>
      <c r="AG103" s="10"/>
      <c r="AH103" s="10"/>
      <c r="AN103" s="3" t="b">
        <f t="shared" ref="AN103:AN104" si="8">IF(AG16="Có",1200)</f>
        <v>0</v>
      </c>
      <c r="AQ103" s="3">
        <f>IF(AG16=0,0,IF(AL16*AM16*AN103*AN16&lt;120000,120000,AL16*AM16*AN103*AN16))</f>
        <v>0</v>
      </c>
    </row>
    <row r="104" spans="1:43">
      <c r="A104" t="s">
        <v>88</v>
      </c>
      <c r="I104" s="3" t="b">
        <f t="shared" si="7"/>
        <v>0</v>
      </c>
      <c r="L104" s="3">
        <f>IF(B17=0,0,IF(G17*H17*I104*I17&lt;120000,120000,G17*H17*I104*I17))</f>
        <v>0</v>
      </c>
      <c r="X104" s="12"/>
      <c r="AA104" s="12"/>
      <c r="AF104" t="s">
        <v>88</v>
      </c>
      <c r="AN104" s="3" t="b">
        <f t="shared" si="8"/>
        <v>0</v>
      </c>
      <c r="AQ104" s="3">
        <f>IF(AG17=0,0,IF(AL17*AM17*AN104*AN17&lt;120000,120000,AL17*AM17*AN104*AN17))</f>
        <v>0</v>
      </c>
    </row>
    <row r="105" spans="1:43">
      <c r="A105" s="10" t="s">
        <v>89</v>
      </c>
      <c r="B105" s="10"/>
      <c r="C105" s="10"/>
      <c r="I105" s="3" t="b">
        <f>IF(B18="Có",1200)</f>
        <v>0</v>
      </c>
      <c r="L105" s="3">
        <f>IF(B18=0,0,IF((G18*H18*I105*I18*2)*C6&lt;120000,120000,(G18*H18*I105*I18*2)*C6))</f>
        <v>0</v>
      </c>
      <c r="X105" s="12"/>
      <c r="AA105" s="12"/>
      <c r="AF105" s="10" t="s">
        <v>89</v>
      </c>
      <c r="AG105" s="10"/>
      <c r="AH105" s="10"/>
      <c r="AN105" s="3" t="b">
        <f>IF(AG18="Có",1200)</f>
        <v>0</v>
      </c>
      <c r="AQ105" s="3">
        <f>IF(AG18=0,0,IF((AL18*AM18*AN105*AN18*2)*AH6&lt;120000,120000,(AL18*AM18*AN105*AN18*2)*AH6))</f>
        <v>0</v>
      </c>
    </row>
    <row r="106" spans="1:43">
      <c r="A106" t="s">
        <v>90</v>
      </c>
      <c r="I106" s="3" t="b">
        <f t="shared" ref="I106:I107" si="9">IF(B19="Có",1200)</f>
        <v>0</v>
      </c>
      <c r="L106" s="3">
        <f>IF(B19=0,0,IF((G19*H19*I106*I19*2)*C6&lt;120000,120000,(G19*H19*I106*I19*2)*C6))</f>
        <v>0</v>
      </c>
      <c r="X106" s="12"/>
      <c r="AA106" s="12"/>
      <c r="AF106" t="s">
        <v>90</v>
      </c>
      <c r="AN106" s="3" t="b">
        <f t="shared" ref="AN106:AN107" si="10">IF(AG19="Có",1200)</f>
        <v>0</v>
      </c>
      <c r="AQ106" s="3">
        <f>IF(AG19=0,0,IF((AL19*AM19*AN106*AN19*2)*AH6&lt;120000,120000,(AL19*AM19*AN106*AN19*2)*AH6))</f>
        <v>0</v>
      </c>
    </row>
    <row r="107" spans="1:43">
      <c r="A107" s="10" t="s">
        <v>91</v>
      </c>
      <c r="B107" s="10"/>
      <c r="C107" s="10"/>
      <c r="I107" s="3" t="b">
        <f t="shared" si="9"/>
        <v>0</v>
      </c>
      <c r="L107" s="3">
        <f>IF(B20=0,0,IF((G20*H20*I107*I20*2)*C6&lt;120000,120000,(G20*H20*I107*I20*2)*C6))</f>
        <v>0</v>
      </c>
      <c r="X107" s="12"/>
      <c r="AA107" s="12"/>
      <c r="AF107" s="10" t="s">
        <v>91</v>
      </c>
      <c r="AG107" s="10"/>
      <c r="AH107" s="10"/>
      <c r="AN107" s="3" t="b">
        <f t="shared" si="10"/>
        <v>0</v>
      </c>
      <c r="AQ107" s="3">
        <f>IF(AG20=0,0,IF((AL20*AM20*AN107*AN20*2)*AH6&lt;120000,120000,(AL20*AM20*AN107*AN20*2)*AH6))</f>
        <v>0</v>
      </c>
    </row>
    <row r="108" spans="1:43">
      <c r="A108" s="10" t="s">
        <v>79</v>
      </c>
      <c r="B108" s="10"/>
      <c r="C108" s="10"/>
      <c r="G108" s="3">
        <f>IF(C15="1 Mặt",B3+G7/2,IF(C15="2 Mặt",B3*2+G7/2))</f>
        <v>10200</v>
      </c>
      <c r="I108" s="3" t="b">
        <f>IF(B15="Có",2)</f>
        <v>0</v>
      </c>
      <c r="L108" s="3">
        <f>IF(B15=0,0,IF(J15*G108*I108&lt;250000,250000,J15*G108*I108))</f>
        <v>0</v>
      </c>
      <c r="V108" s="12"/>
      <c r="X108" s="12"/>
      <c r="AA108" s="12"/>
      <c r="AF108" s="10" t="s">
        <v>79</v>
      </c>
      <c r="AG108" s="10"/>
      <c r="AH108" s="10"/>
      <c r="AL108" s="3">
        <f>IF(AH15="1 Mặt",AG3+AL7/2,IF(AH15="2 Mặt",AG3*2+AL7/2))</f>
        <v>50</v>
      </c>
      <c r="AN108" s="3" t="b">
        <f>IF(AG15="Có",2)</f>
        <v>0</v>
      </c>
      <c r="AQ108" s="3">
        <f>IF(AG15=0,0,IF(AO15*AL108*AN108&lt;250000,250000,AO15*AL108*AN108))</f>
        <v>0</v>
      </c>
    </row>
    <row r="109" spans="1:43">
      <c r="A109" t="s">
        <v>80</v>
      </c>
      <c r="G109" s="3">
        <f>IF(C16="1 Mặt",B3+G7/2,IF(C16="2 Mặt",B3*2+G7/2))</f>
        <v>10200</v>
      </c>
      <c r="I109" s="3" t="b">
        <f t="shared" ref="I109:I110" si="11">IF(B16="Có",2)</f>
        <v>0</v>
      </c>
      <c r="L109" s="3">
        <f>IF(B16=0,0,IF(J16*G109*I109&lt;250000,250000,J16*G109*I109))</f>
        <v>0</v>
      </c>
      <c r="V109" s="12"/>
      <c r="X109" s="12"/>
      <c r="AA109" s="12"/>
      <c r="AF109" t="s">
        <v>80</v>
      </c>
      <c r="AL109" s="3">
        <f>IF(AH16="1 Mặt",AG3+AL7/2,IF(AH16="2 Mặt",AG3*2+AL7/2))</f>
        <v>50</v>
      </c>
      <c r="AN109" s="3" t="b">
        <f t="shared" ref="AN109:AN110" si="12">IF(AG16="Có",2)</f>
        <v>0</v>
      </c>
      <c r="AQ109" s="3">
        <f>IF(AG16=0,0,IF(AO16*AL109*AN109&lt;250000,250000,AO16*AL109*AN109))</f>
        <v>0</v>
      </c>
    </row>
    <row r="110" spans="1:43">
      <c r="A110" s="10" t="s">
        <v>81</v>
      </c>
      <c r="B110" s="10"/>
      <c r="C110" s="10"/>
      <c r="G110" s="3">
        <f>IF(C17="1 Mặt",B3+G7/2,IF(C17="2 Mặt",B3*2+G7/2))</f>
        <v>10200</v>
      </c>
      <c r="I110" s="3" t="b">
        <f t="shared" si="11"/>
        <v>0</v>
      </c>
      <c r="L110" s="3">
        <f>IF(B17=0,0,IF(J17*G110*I110&lt;250000,250000,J17*G110*I110))</f>
        <v>0</v>
      </c>
      <c r="V110" s="12"/>
      <c r="X110" s="12"/>
      <c r="AA110" s="12"/>
      <c r="AF110" s="10" t="s">
        <v>81</v>
      </c>
      <c r="AG110" s="10"/>
      <c r="AH110" s="10"/>
      <c r="AL110" s="3">
        <f>IF(AH17="1 Mặt",AG3+AL7/2,IF(AH17="2 Mặt",AG3*2+AL7/2))</f>
        <v>50</v>
      </c>
      <c r="AN110" s="3" t="b">
        <f t="shared" si="12"/>
        <v>0</v>
      </c>
      <c r="AQ110" s="3">
        <f>IF(AG17=0,0,IF(AO17*AL110*AN110&lt;250000,250000,AO17*AL110*AN110))</f>
        <v>0</v>
      </c>
    </row>
    <row r="111" spans="1:43">
      <c r="A111" t="s">
        <v>93</v>
      </c>
      <c r="G111" s="3" t="b">
        <f>IF(B18="Có",G94)</f>
        <v>0</v>
      </c>
      <c r="I111" s="3" t="b">
        <f>IF(B18="Có",150)</f>
        <v>0</v>
      </c>
      <c r="L111" s="3">
        <f>IF(B18=0,0,IF(G111*I111&lt;150000,150000,G111*I111))</f>
        <v>0</v>
      </c>
      <c r="V111" s="12"/>
      <c r="X111" s="12"/>
      <c r="AA111" s="12"/>
      <c r="AF111" t="s">
        <v>93</v>
      </c>
      <c r="AL111" s="3" t="b">
        <f>IF(AG18="Có",AL94)</f>
        <v>0</v>
      </c>
      <c r="AN111" s="3" t="b">
        <f>IF(AG18="Có",150)</f>
        <v>0</v>
      </c>
      <c r="AQ111" s="3">
        <f>IF(AG18=0,0,IF(AL111*AN111&lt;150000,150000,AL111*AN111))</f>
        <v>0</v>
      </c>
    </row>
    <row r="112" spans="1:43">
      <c r="A112" s="10" t="s">
        <v>85</v>
      </c>
      <c r="B112" s="10"/>
      <c r="C112" s="10"/>
      <c r="G112" s="3">
        <f>G94</f>
        <v>10200</v>
      </c>
      <c r="I112" s="8" t="b">
        <f>IF(B21="Bóng",600,IF(B21="Cát",600))</f>
        <v>0</v>
      </c>
      <c r="L112" s="3">
        <f>IF(B21=0,0,IF(G112*I112&lt;700000,700000,G112*I112))</f>
        <v>0</v>
      </c>
      <c r="V112" s="12"/>
      <c r="X112" s="12"/>
      <c r="AA112" s="12"/>
      <c r="AF112" s="10" t="s">
        <v>85</v>
      </c>
      <c r="AG112" s="10"/>
      <c r="AH112" s="10"/>
      <c r="AL112" s="3">
        <f>AL94</f>
        <v>50</v>
      </c>
      <c r="AN112" s="8" t="b">
        <f>IF(AG21="Bóng",600,IF(AG21="Cát",600))</f>
        <v>0</v>
      </c>
      <c r="AQ112" s="3">
        <f>IF(AG21=0,0,IF(AL112*AN112&lt;700000,700000,AL112*AN112))</f>
        <v>0</v>
      </c>
    </row>
    <row r="113" spans="1:43">
      <c r="A113" t="s">
        <v>2</v>
      </c>
      <c r="G113">
        <f>B3/N7</f>
        <v>50</v>
      </c>
      <c r="I113" s="3">
        <v>15000</v>
      </c>
      <c r="L113" s="3">
        <f>IF(G113*I113&lt;15000,15000,G113*I113)</f>
        <v>750000</v>
      </c>
      <c r="X113" s="12"/>
      <c r="AA113" s="12"/>
      <c r="AF113" t="s">
        <v>2</v>
      </c>
      <c r="AL113">
        <f>AG3/AS7</f>
        <v>0</v>
      </c>
      <c r="AN113" s="3">
        <v>15000</v>
      </c>
      <c r="AQ113" s="3">
        <f>IF(OR(AG4="Không",AG4=0),0,IF(AL113*AN113&lt;15000,15000,AL113*AN113))</f>
        <v>15000</v>
      </c>
    </row>
    <row r="114" spans="1:43">
      <c r="A114" s="10" t="s">
        <v>4</v>
      </c>
      <c r="B114" s="10"/>
      <c r="C114" s="10"/>
      <c r="G114">
        <v>1</v>
      </c>
      <c r="I114" s="3">
        <f>IF(B8="Ô tô", 400000, IF(B8="Xe máy", 150000,IF(B8=0,0)))</f>
        <v>0</v>
      </c>
      <c r="L114" s="3">
        <f>G114*I114</f>
        <v>0</v>
      </c>
      <c r="X114" s="12"/>
      <c r="AA114" s="12"/>
      <c r="AF114" s="10" t="s">
        <v>4</v>
      </c>
      <c r="AG114" s="10"/>
      <c r="AH114" s="10"/>
      <c r="AL114">
        <v>1</v>
      </c>
      <c r="AN114" s="3">
        <f>IF(AG8="Ô tô", 400000, IF(AG8="Xe máy", 150000,IF(AG8=0,0)))</f>
        <v>0</v>
      </c>
      <c r="AQ114" s="3">
        <f>AL114*AN114</f>
        <v>0</v>
      </c>
    </row>
    <row r="115" spans="1:43">
      <c r="A115" t="s">
        <v>103</v>
      </c>
      <c r="L115" s="3">
        <f>IF(AND(D89=D88,L89&lt;4000000),150000,0)</f>
        <v>0</v>
      </c>
      <c r="AA115" s="12"/>
      <c r="AF115" t="s">
        <v>103</v>
      </c>
      <c r="AQ115" s="3">
        <f>IF(OR(AG4="Không",AG4=0),0,IF(AND(AI89=AI88,AQ89&lt;4000000),150000,0))</f>
        <v>150000</v>
      </c>
    </row>
    <row r="116" spans="1:43">
      <c r="A116" s="10" t="s">
        <v>121</v>
      </c>
      <c r="B116" s="10"/>
      <c r="C116" s="10"/>
      <c r="G116" s="3">
        <f>G88-G7/2</f>
        <v>10200</v>
      </c>
      <c r="I116" s="3" t="b">
        <f>IF(B13="Có",1300)</f>
        <v>0</v>
      </c>
      <c r="L116" s="3">
        <f>IF(B13=0,0,IF(D89/100*E89/100*I116*G116&lt;300000,300000,D89/100*E89/100*I116*G116+100000))</f>
        <v>0</v>
      </c>
      <c r="V116" s="12"/>
      <c r="X116" s="12"/>
      <c r="AA116" s="12"/>
      <c r="AF116" s="10" t="s">
        <v>121</v>
      </c>
      <c r="AG116" s="10"/>
      <c r="AH116" s="10"/>
      <c r="AL116" s="3">
        <f>AL88-AL7/2</f>
        <v>50</v>
      </c>
      <c r="AN116" s="3" t="b">
        <f>IF(AG13="Có",1300)</f>
        <v>0</v>
      </c>
      <c r="AQ116" s="3">
        <f>IF(AG13=0,0,IF(AI89/100*AJ89/100*AN116*AL116&lt;300000,300000,AI89/100*AJ89/100*AN116*AL116+100000))</f>
        <v>0</v>
      </c>
    </row>
    <row r="117" spans="1:43">
      <c r="AF117" s="47" t="s">
        <v>144</v>
      </c>
      <c r="AG117" s="47"/>
      <c r="AH117" s="47"/>
      <c r="AI117" s="47"/>
      <c r="AJ117" s="47"/>
      <c r="AK117" s="47"/>
      <c r="AL117" s="47">
        <f>IFERROR(AG3/AS13,0)</f>
        <v>0</v>
      </c>
      <c r="AM117" s="47"/>
      <c r="AN117" s="48">
        <v>15000</v>
      </c>
      <c r="AO117" s="47"/>
      <c r="AP117" s="47"/>
      <c r="AQ117" s="48">
        <f>IF(AND(OR(AG23="Không",AG23=0),OR(AG24="Không",AG24=0)),0,AL117*AN117)</f>
        <v>0</v>
      </c>
    </row>
    <row r="118" spans="1:43">
      <c r="AN118" s="3"/>
      <c r="AQ118" s="3"/>
    </row>
    <row r="119" spans="1:43">
      <c r="L119" s="3"/>
      <c r="AA119" s="12"/>
      <c r="AF119" s="47" t="s">
        <v>176</v>
      </c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8">
        <f>IF(AI41=0,0,IF(AI41&lt;100000,100000,AI41))</f>
        <v>0</v>
      </c>
    </row>
    <row r="120" spans="1:43">
      <c r="L120" s="3"/>
      <c r="AA120" s="12"/>
      <c r="AF120" s="11" t="s">
        <v>177</v>
      </c>
      <c r="AG120" s="11"/>
      <c r="AH120" s="11"/>
      <c r="AI120" s="11"/>
      <c r="AJ120" s="11"/>
      <c r="AK120" s="11"/>
      <c r="AL120" s="12">
        <f>AG3+AI7</f>
        <v>20</v>
      </c>
      <c r="AM120" s="11"/>
      <c r="AN120" s="12">
        <f>IF(AND(AL4&lt;12,AM4&lt;8,AF24+AF26&lt;=2),350,700)</f>
        <v>700</v>
      </c>
      <c r="AO120" s="11"/>
      <c r="AP120" s="11"/>
      <c r="AQ120" s="12">
        <f>IF(AF26=0,0,IF(AL120*AN120&lt;150000,150000,AL120*AN120))</f>
        <v>0</v>
      </c>
    </row>
    <row r="121" spans="1:43">
      <c r="L121" s="3"/>
      <c r="AA121" s="12"/>
      <c r="AF121" s="47" t="s">
        <v>178</v>
      </c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8">
        <f>IF(AI47=0,0,IF(AI47&lt;200000,200000,AI47))</f>
        <v>0</v>
      </c>
    </row>
    <row r="122" spans="1:43">
      <c r="L122" s="3"/>
      <c r="AA122" s="12"/>
      <c r="AF122" s="11" t="s">
        <v>179</v>
      </c>
      <c r="AG122" s="11"/>
      <c r="AH122" s="11"/>
      <c r="AI122" s="11"/>
      <c r="AJ122" s="11"/>
      <c r="AK122" s="11"/>
      <c r="AL122" s="12">
        <f>AG3+AI7</f>
        <v>20</v>
      </c>
      <c r="AM122" s="11"/>
      <c r="AN122" s="12">
        <f>IF(AND(AL4&lt;12,AM4&lt;8,AF24+AF26&lt;=2),350,700)</f>
        <v>700</v>
      </c>
      <c r="AO122" s="11"/>
      <c r="AP122" s="11"/>
      <c r="AQ122" s="12">
        <f>IF(AF24=0,0,IF(AL122*AN122&lt;150000,150000,AL122*AN122))</f>
        <v>0</v>
      </c>
    </row>
    <row r="123" spans="1:43">
      <c r="L123" s="3"/>
      <c r="AA123" s="12"/>
      <c r="AF123" s="47" t="s">
        <v>180</v>
      </c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8" t="b">
        <f>IF(AF28="Vải",AI65,IF(AF28="Nhung",AI56))</f>
        <v>0</v>
      </c>
    </row>
    <row r="124" spans="1:43">
      <c r="L124" s="3"/>
      <c r="AA124" s="12"/>
      <c r="AF124" s="11" t="s">
        <v>181</v>
      </c>
      <c r="AG124" s="11"/>
      <c r="AH124" s="11"/>
      <c r="AI124" s="11"/>
      <c r="AJ124" s="11"/>
      <c r="AK124" s="11"/>
      <c r="AL124" s="12">
        <f>AG3+AI7</f>
        <v>20</v>
      </c>
      <c r="AM124" s="11"/>
      <c r="AN124" s="11" t="b">
        <f>IF(AND(AL4&lt;12,AM4&lt;8,AF24+AF26&lt;=5),IF(AF28="Nhung",250,IF(AF28="Vải",1000)),IF(AF28="Nhung",400,IF(AF28="Vải",1500)))</f>
        <v>0</v>
      </c>
      <c r="AO124" s="11"/>
      <c r="AP124" s="11"/>
      <c r="AQ124" s="12">
        <f>IFERROR(IF(AL124*AN124=0,0,IF(AL124*AN124&lt;100000,100000,AL124*AN124)),0)</f>
        <v>0</v>
      </c>
    </row>
    <row r="125" spans="1:43">
      <c r="L125" s="3"/>
      <c r="AA125" s="12"/>
      <c r="AQ125" s="3"/>
    </row>
    <row r="126" spans="1:43">
      <c r="L126" s="3"/>
      <c r="AA126" s="12"/>
      <c r="AQ126" s="3"/>
    </row>
    <row r="127" spans="1:43">
      <c r="L127" s="3"/>
      <c r="AA127" s="12"/>
      <c r="AQ127" s="3"/>
    </row>
    <row r="128" spans="1:43">
      <c r="L128" s="3"/>
      <c r="AA128" s="12"/>
      <c r="AQ128" s="3"/>
    </row>
    <row r="129" spans="12:43">
      <c r="L129" s="3"/>
      <c r="AA129" s="12"/>
      <c r="AQ129" s="3"/>
    </row>
    <row r="130" spans="12:43">
      <c r="L130" s="3"/>
      <c r="AA130" s="12"/>
      <c r="AQ130" s="3"/>
    </row>
    <row r="131" spans="12:43">
      <c r="L131" s="3"/>
      <c r="AA131" s="12"/>
      <c r="AQ131" s="3"/>
    </row>
    <row r="132" spans="12:43">
      <c r="L132" s="3"/>
      <c r="AA132" s="12"/>
      <c r="AQ132" s="3"/>
    </row>
    <row r="133" spans="12:43">
      <c r="L133" s="3"/>
      <c r="AA133" s="12"/>
      <c r="AQ133" s="3"/>
    </row>
    <row r="134" spans="12:43">
      <c r="L134" s="3"/>
      <c r="AA134" s="12"/>
      <c r="AQ134" s="3"/>
    </row>
  </sheetData>
  <dataValidations disablePrompts="1" count="13">
    <dataValidation type="list" allowBlank="1" showInputMessage="1" showErrorMessage="1" sqref="B14 AG14">
      <formula1>"0,Có"</formula1>
    </dataValidation>
    <dataValidation type="list" allowBlank="1" showInputMessage="1" showErrorMessage="1" sqref="B11 AG11">
      <formula1>"0,1,2,3,4"</formula1>
    </dataValidation>
    <dataValidation type="list" allowBlank="1" showInputMessage="1" showErrorMessage="1" sqref="B21 AG21">
      <formula1>"0, Bóng, Cát"</formula1>
    </dataValidation>
    <dataValidation type="list" allowBlank="1" showInputMessage="1" showErrorMessage="1" sqref="C15:C21 AH15:AH21">
      <formula1>"1 Mặt, 2 Mặt"</formula1>
    </dataValidation>
    <dataValidation type="list" allowBlank="1" showInputMessage="1" showErrorMessage="1" sqref="B15:B20 AG15:AG20 AG25 AG12:AG13 B12:B13">
      <formula1>"0, Có"</formula1>
    </dataValidation>
    <dataValidation type="list" allowBlank="1" showInputMessage="1" sqref="B7 AG7">
      <formula1>"0, Dù, Tơ bóng, Lụa"</formula1>
    </dataValidation>
    <dataValidation type="list" allowBlank="1" showInputMessage="1" showErrorMessage="1" sqref="AG5 B5">
      <formula1>"Mờ, Bóng, Đặc Biệt, 0"</formula1>
    </dataValidation>
    <dataValidation type="list" allowBlank="1" showInputMessage="1" showErrorMessage="1" sqref="AG6 B6">
      <formula1>"1x1,1x2,1x2 Ngang,1x3,1x3 Ngang,2x2,2x3,2x3 Ngang,2x4,2x4 Ngang,3x3,3x4,3x4 Ngang"</formula1>
    </dataValidation>
    <dataValidation type="list" allowBlank="1" showInputMessage="1" showErrorMessage="1" sqref="B8 AG8">
      <formula1>"Ô tô, Xe máy, 0"</formula1>
    </dataValidation>
    <dataValidation type="list" allowBlank="1" showInputMessage="1" showErrorMessage="1" sqref="M7 AR7">
      <formula1>"1,2"</formula1>
    </dataValidation>
    <dataValidation type="list" allowBlank="1" showInputMessage="1" showErrorMessage="1" sqref="B10 AG10">
      <formula1>"0, Bạc, Bạc Prime, Vàng, Vàng Prime"</formula1>
    </dataValidation>
    <dataValidation type="decimal" allowBlank="1" showInputMessage="1" showErrorMessage="1" sqref="K4">
      <formula1>0.5</formula1>
      <formula2>2</formula2>
    </dataValidation>
    <dataValidation type="list" allowBlank="1" showInputMessage="1" showErrorMessage="1" sqref="AF28">
      <formula1>"0, Nhung, Vải"</formula1>
    </dataValidation>
  </dataValidations>
  <pageMargins left="0.7" right="0.7" top="0.75" bottom="0.75" header="0.3" footer="0.3"/>
  <pageSetup paperSize="9" orientation="portrait" verticalDpi="0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xr:uid="{00000000-0002-0000-0900-000002000000}">
          <x14:formula1>
            <xm:f>'Bảng giá giấy'!$B$3:$B$113</xm:f>
          </x14:formula1>
          <xm:sqref>B9 AG4 AG9</xm:sqref>
        </x14:dataValidation>
        <x14:dataValidation type="list" allowBlank="1" showInputMessage="1" showErrorMessage="1" xr:uid="{00000000-0002-0000-0900-000008000000}">
          <x14:formula1>
            <xm:f>'Bảng giá giấy'!$B$3:$B$113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2:O33"/>
  <sheetViews>
    <sheetView tabSelected="1" zoomScale="80" zoomScaleNormal="80" workbookViewId="0">
      <selection activeCell="F40" sqref="F40"/>
    </sheetView>
  </sheetViews>
  <sheetFormatPr defaultColWidth="11.77734375" defaultRowHeight="16.95" customHeight="1"/>
  <cols>
    <col min="1" max="2" width="22.44140625" style="1" customWidth="1"/>
    <col min="3" max="3" width="17.77734375" style="1" customWidth="1"/>
    <col min="4" max="4" width="18.5546875" style="1" customWidth="1"/>
    <col min="5" max="5" width="17.44140625" style="1" customWidth="1"/>
    <col min="6" max="6" width="13.33203125" style="1" customWidth="1"/>
    <col min="7" max="7" width="21.6640625" style="1" customWidth="1"/>
    <col min="8" max="8" width="16.5546875" style="1" customWidth="1"/>
    <col min="9" max="9" width="16.77734375" style="1" customWidth="1"/>
    <col min="10" max="10" width="13.21875" style="1" customWidth="1"/>
    <col min="11" max="11" width="11.77734375" style="1"/>
    <col min="12" max="12" width="19.5546875" style="1" customWidth="1"/>
    <col min="13" max="13" width="11.77734375" style="1"/>
    <col min="14" max="14" width="17.109375" style="1" customWidth="1"/>
    <col min="15" max="15" width="12.44140625" style="1" customWidth="1"/>
    <col min="16" max="16" width="11.77734375" style="1"/>
    <col min="17" max="17" width="19.77734375" style="1" customWidth="1"/>
    <col min="18" max="18" width="11.77734375" style="1"/>
    <col min="19" max="19" width="17.77734375" style="1" customWidth="1"/>
    <col min="20" max="20" width="14.77734375" style="1" customWidth="1"/>
    <col min="21" max="16384" width="11.77734375" style="1"/>
  </cols>
  <sheetData>
    <row r="2" spans="1:15" ht="32.4" customHeight="1">
      <c r="A2" s="84"/>
      <c r="B2" s="87" t="s">
        <v>152</v>
      </c>
      <c r="C2" s="87"/>
      <c r="D2" s="87"/>
      <c r="E2" s="87"/>
      <c r="F2" s="87"/>
      <c r="G2" s="87"/>
      <c r="H2" s="87"/>
      <c r="I2" s="87"/>
      <c r="J2" s="87"/>
    </row>
    <row r="4" spans="1:15" ht="16.95" customHeight="1">
      <c r="B4" s="1" t="s">
        <v>3</v>
      </c>
      <c r="C4" s="15">
        <v>10000</v>
      </c>
      <c r="E4" s="16">
        <v>0.15</v>
      </c>
      <c r="G4" s="1" t="s">
        <v>98</v>
      </c>
      <c r="H4" s="24">
        <f ca="1">'BG - Hộp Sóng Nắp Cài Pizza'!D3+'BG - Hộp Sóng Nắp Cài Pizza'!AI3</f>
        <v>8392.8740595000017</v>
      </c>
    </row>
    <row r="5" spans="1:15" s="2" customFormat="1" ht="16.95" customHeight="1">
      <c r="C5" s="28"/>
      <c r="F5" s="5"/>
      <c r="G5" s="5"/>
      <c r="H5" s="5"/>
      <c r="I5" s="5"/>
    </row>
    <row r="6" spans="1:15" s="2" customFormat="1" ht="20.399999999999999" customHeight="1">
      <c r="B6" s="88" t="s">
        <v>139</v>
      </c>
      <c r="C6" s="88"/>
      <c r="D6" s="88"/>
      <c r="E6" s="49">
        <f>'BG - Hộp Sóng Nắp Cài Pizza'!D3</f>
        <v>8392.8740595000017</v>
      </c>
      <c r="F6" s="32"/>
      <c r="G6" s="89"/>
      <c r="H6" s="89"/>
      <c r="I6" s="89"/>
      <c r="J6" s="50"/>
      <c r="L6" s="88" t="s">
        <v>140</v>
      </c>
      <c r="M6" s="88"/>
      <c r="N6" s="88"/>
      <c r="O6" s="49">
        <f ca="1">'BG - Hộp Sóng Nắp Cài Pizza'!AI3</f>
        <v>0</v>
      </c>
    </row>
    <row r="7" spans="1:15" s="2" customFormat="1" ht="16.95" customHeight="1">
      <c r="B7" s="29" t="s">
        <v>7</v>
      </c>
      <c r="C7" s="29" t="s">
        <v>8</v>
      </c>
      <c r="D7" s="29" t="s">
        <v>9</v>
      </c>
      <c r="E7" s="29" t="s">
        <v>132</v>
      </c>
      <c r="F7" s="33"/>
      <c r="G7" s="33"/>
      <c r="H7" s="33"/>
      <c r="I7" s="33"/>
      <c r="J7" s="33"/>
      <c r="L7" s="46" t="s">
        <v>141</v>
      </c>
      <c r="M7" s="29"/>
      <c r="N7" s="29" t="s">
        <v>9</v>
      </c>
      <c r="O7" s="29"/>
    </row>
    <row r="8" spans="1:15" s="2" customFormat="1" ht="16.95" customHeight="1">
      <c r="B8" s="35">
        <v>32</v>
      </c>
      <c r="C8" s="35">
        <v>22</v>
      </c>
      <c r="D8" s="35">
        <v>8</v>
      </c>
      <c r="E8" s="35">
        <v>0.5</v>
      </c>
      <c r="F8" s="33"/>
      <c r="G8" s="51"/>
      <c r="H8" s="51"/>
      <c r="I8" s="51"/>
      <c r="J8" s="51"/>
      <c r="L8" s="45"/>
      <c r="M8" s="35"/>
      <c r="N8" s="35">
        <v>4</v>
      </c>
      <c r="O8" s="35"/>
    </row>
    <row r="9" spans="1:15" s="2" customFormat="1" ht="16.95" customHeight="1">
      <c r="B9" s="34" t="s">
        <v>99</v>
      </c>
      <c r="C9" s="39" t="s">
        <v>136</v>
      </c>
      <c r="D9" s="34"/>
      <c r="E9" s="34"/>
      <c r="F9" s="33"/>
      <c r="G9" s="34"/>
      <c r="H9" s="33"/>
      <c r="I9" s="34"/>
      <c r="J9" s="34"/>
      <c r="L9" s="34" t="s">
        <v>99</v>
      </c>
      <c r="M9" s="39" t="s">
        <v>136</v>
      </c>
      <c r="N9" s="34"/>
      <c r="O9" s="34"/>
    </row>
    <row r="10" spans="1:15" s="2" customFormat="1" ht="16.95" customHeight="1">
      <c r="B10" s="30" t="s">
        <v>1</v>
      </c>
      <c r="C10" s="29" t="s">
        <v>56</v>
      </c>
      <c r="D10" s="30"/>
      <c r="E10" s="30"/>
      <c r="F10" s="33"/>
      <c r="G10" s="34"/>
      <c r="H10" s="33"/>
      <c r="I10" s="34"/>
      <c r="J10" s="34"/>
      <c r="L10" s="30" t="s">
        <v>1</v>
      </c>
      <c r="M10" s="29" t="s">
        <v>56</v>
      </c>
      <c r="N10" s="30"/>
      <c r="O10" s="30"/>
    </row>
    <row r="11" spans="1:15" s="2" customFormat="1" ht="16.95" customHeight="1">
      <c r="B11" s="34" t="s">
        <v>135</v>
      </c>
      <c r="C11" s="39" t="s">
        <v>134</v>
      </c>
      <c r="D11" s="34"/>
      <c r="E11" s="34"/>
      <c r="F11" s="33"/>
      <c r="G11" s="34"/>
      <c r="H11" s="33"/>
      <c r="I11" s="34"/>
      <c r="J11" s="34"/>
      <c r="L11" s="34" t="s">
        <v>135</v>
      </c>
      <c r="M11" s="39" t="s">
        <v>142</v>
      </c>
      <c r="N11" s="34"/>
      <c r="O11" s="34"/>
    </row>
    <row r="12" spans="1:15" s="2" customFormat="1" ht="16.95" customHeight="1">
      <c r="B12" s="30" t="s">
        <v>53</v>
      </c>
      <c r="C12" s="37">
        <v>4</v>
      </c>
      <c r="D12" s="30" t="s">
        <v>170</v>
      </c>
      <c r="E12" s="30"/>
      <c r="F12" s="33"/>
      <c r="G12" s="34"/>
      <c r="H12" s="33"/>
      <c r="I12" s="34"/>
      <c r="J12" s="34"/>
      <c r="L12" s="30" t="s">
        <v>53</v>
      </c>
      <c r="M12" s="37">
        <v>1</v>
      </c>
      <c r="N12" s="30" t="s">
        <v>170</v>
      </c>
      <c r="O12" s="30"/>
    </row>
    <row r="13" spans="1:15" s="2" customFormat="1" ht="16.95" customHeight="1">
      <c r="B13" s="34" t="s">
        <v>109</v>
      </c>
      <c r="C13" s="33" t="s">
        <v>110</v>
      </c>
      <c r="D13" s="34"/>
      <c r="E13" s="34"/>
      <c r="F13" s="33"/>
      <c r="G13" s="34"/>
      <c r="H13" s="33"/>
      <c r="I13" s="34"/>
      <c r="J13" s="34"/>
      <c r="L13" s="34" t="s">
        <v>109</v>
      </c>
      <c r="M13" s="33" t="s">
        <v>110</v>
      </c>
      <c r="N13" s="34"/>
      <c r="O13" s="34"/>
    </row>
    <row r="14" spans="1:15" s="2" customFormat="1" ht="16.95" customHeight="1">
      <c r="B14" s="30" t="s">
        <v>97</v>
      </c>
      <c r="C14" s="29">
        <v>0</v>
      </c>
      <c r="D14" s="30"/>
      <c r="E14" s="30"/>
      <c r="F14" s="33"/>
      <c r="G14" s="34"/>
      <c r="H14" s="33"/>
      <c r="I14" s="34"/>
      <c r="J14" s="34"/>
      <c r="L14" s="30" t="s">
        <v>97</v>
      </c>
      <c r="M14" s="29">
        <v>0</v>
      </c>
      <c r="N14" s="30"/>
      <c r="O14" s="30"/>
    </row>
    <row r="15" spans="1:15" s="2" customFormat="1" ht="16.95" customHeight="1">
      <c r="B15" s="34" t="s">
        <v>129</v>
      </c>
      <c r="C15" s="33">
        <v>0</v>
      </c>
      <c r="D15" s="34"/>
      <c r="E15" s="34"/>
      <c r="F15" s="33"/>
      <c r="G15" s="34"/>
      <c r="H15" s="33"/>
      <c r="I15" s="34"/>
      <c r="J15" s="34"/>
      <c r="L15" s="34" t="s">
        <v>129</v>
      </c>
      <c r="M15" s="33">
        <v>0</v>
      </c>
      <c r="N15" s="34"/>
      <c r="O15" s="34"/>
    </row>
    <row r="16" spans="1:15" s="2" customFormat="1" ht="16.95" customHeight="1">
      <c r="B16" s="30" t="s">
        <v>121</v>
      </c>
      <c r="C16" s="29">
        <v>0</v>
      </c>
      <c r="D16" s="30"/>
      <c r="E16" s="30"/>
      <c r="F16" s="33"/>
      <c r="G16" s="34"/>
      <c r="H16" s="33"/>
      <c r="I16" s="34"/>
      <c r="J16" s="34"/>
      <c r="L16" s="30" t="s">
        <v>121</v>
      </c>
      <c r="M16" s="29">
        <v>0</v>
      </c>
      <c r="N16" s="30"/>
      <c r="O16" s="30"/>
    </row>
    <row r="17" spans="2:15" s="2" customFormat="1" ht="16.95" customHeight="1">
      <c r="B17" s="34" t="s">
        <v>104</v>
      </c>
      <c r="C17" s="33">
        <v>0</v>
      </c>
      <c r="D17" s="34"/>
      <c r="E17" s="34"/>
      <c r="F17" s="33"/>
      <c r="G17" s="34"/>
      <c r="H17" s="33"/>
      <c r="I17" s="34"/>
      <c r="J17" s="34"/>
      <c r="L17" s="34" t="s">
        <v>150</v>
      </c>
      <c r="M17" s="33">
        <v>0</v>
      </c>
      <c r="N17" s="34" t="s">
        <v>146</v>
      </c>
      <c r="O17" s="34"/>
    </row>
    <row r="18" spans="2:15" s="2" customFormat="1" ht="16.95" customHeight="1">
      <c r="B18" s="30" t="s">
        <v>106</v>
      </c>
      <c r="C18" s="29">
        <v>0</v>
      </c>
      <c r="D18" s="30" t="s">
        <v>105</v>
      </c>
      <c r="E18" s="30"/>
      <c r="F18" s="33"/>
      <c r="G18" s="34"/>
      <c r="H18" s="33"/>
      <c r="I18" s="34"/>
      <c r="J18" s="34"/>
      <c r="L18" s="30" t="s">
        <v>151</v>
      </c>
      <c r="M18" s="29">
        <v>0</v>
      </c>
      <c r="N18" s="30" t="s">
        <v>146</v>
      </c>
      <c r="O18" s="30"/>
    </row>
    <row r="19" spans="2:15" s="2" customFormat="1" ht="16.95" customHeight="1">
      <c r="B19" s="34" t="s">
        <v>108</v>
      </c>
      <c r="C19" s="33">
        <v>0</v>
      </c>
      <c r="D19" s="34"/>
      <c r="E19" s="34"/>
      <c r="F19" s="33"/>
      <c r="G19" s="34"/>
      <c r="H19" s="33"/>
      <c r="I19" s="34"/>
      <c r="J19" s="34"/>
      <c r="L19" s="34" t="s">
        <v>109</v>
      </c>
      <c r="M19" s="33">
        <v>0</v>
      </c>
      <c r="N19" s="34"/>
      <c r="O19" s="34"/>
    </row>
    <row r="20" spans="2:15" s="2" customFormat="1" ht="16.95" customHeight="1">
      <c r="B20" s="36" t="s">
        <v>102</v>
      </c>
      <c r="C20" s="37">
        <f>IF('BG - Hộp Sóng Nắp Cài Pizza'!$D$88&gt;'BG - Hộp Sóng Nắp Cài Pizza'!$E$88,'BG - Hộp Sóng Nắp Cài Pizza'!$E$88,'BG - Hộp Sóng Nắp Cài Pizza'!$D$88)</f>
        <v>65.400000000000006</v>
      </c>
      <c r="D20" s="37">
        <f>IF('BG - Hộp Sóng Nắp Cài Pizza'!$E$88&lt;'BG - Hộp Sóng Nắp Cài Pizza'!$D$88,'BG - Hộp Sóng Nắp Cài Pizza'!$D$88,'BG - Hộp Sóng Nắp Cài Pizza'!$E$88)</f>
        <v>68.300000000000011</v>
      </c>
      <c r="E20" s="37" t="s">
        <v>3</v>
      </c>
      <c r="F20" s="34"/>
      <c r="G20" s="34"/>
      <c r="H20" s="33"/>
      <c r="I20" s="33"/>
      <c r="J20" s="33"/>
      <c r="L20" s="36" t="s">
        <v>102</v>
      </c>
      <c r="M20" s="37">
        <f>IF('BG - Hộp Sóng Nắp Cài Pizza'!$AI$88&gt;'BG - Hộp Sóng Nắp Cài Pizza'!$AJ$88,'BG - Hộp Sóng Nắp Cài Pizza'!$AJ$88,'BG - Hộp Sóng Nắp Cài Pizza'!$AI$88)</f>
        <v>39</v>
      </c>
      <c r="N20" s="37">
        <f>IF('BG - Hộp Sóng Nắp Cài Pizza'!$AJ$88&lt;'BG - Hộp Sóng Nắp Cài Pizza'!$AI$88,'BG - Hộp Sóng Nắp Cài Pizza'!$AI$88,'BG - Hộp Sóng Nắp Cài Pizza'!$AJ$88)</f>
        <v>59.2</v>
      </c>
      <c r="O20" s="37" t="s">
        <v>3</v>
      </c>
    </row>
    <row r="21" spans="2:15" s="2" customFormat="1" ht="16.95" customHeight="1">
      <c r="B21" s="36" t="s">
        <v>137</v>
      </c>
      <c r="C21" s="31">
        <f>IF(C20&gt;D20,D20,C20)</f>
        <v>65.400000000000006</v>
      </c>
      <c r="D21" s="31">
        <f>IF(C21=D20,C20,D20)</f>
        <v>68.300000000000011</v>
      </c>
      <c r="E21" s="40">
        <f>'BG - Hộp Sóng Nắp Cài Pizza'!G89</f>
        <v>10400</v>
      </c>
      <c r="F21" s="34"/>
      <c r="G21" s="34"/>
      <c r="H21" s="52"/>
      <c r="I21" s="52"/>
      <c r="J21" s="53"/>
      <c r="L21" s="36" t="s">
        <v>137</v>
      </c>
      <c r="M21" s="31">
        <f>IF(M20&gt;N20,N20,M20)</f>
        <v>39</v>
      </c>
      <c r="N21" s="31">
        <f>IF(M21=N20,M20,N20)</f>
        <v>59.2</v>
      </c>
      <c r="O21" s="40">
        <f>'BG - Hộp Sóng Nắp Cài Pizza'!AL89</f>
        <v>100</v>
      </c>
    </row>
    <row r="22" spans="2:15" s="2" customFormat="1" ht="16.95" customHeight="1">
      <c r="B22" s="38" t="s">
        <v>126</v>
      </c>
      <c r="C22" s="25" t="s">
        <v>124</v>
      </c>
      <c r="D22" s="26" t="s">
        <v>125</v>
      </c>
      <c r="E22" s="36"/>
      <c r="F22" s="34"/>
      <c r="G22" s="54"/>
      <c r="H22" s="55"/>
      <c r="I22" s="56"/>
      <c r="J22" s="34"/>
      <c r="L22" s="38" t="s">
        <v>126</v>
      </c>
      <c r="M22" s="25" t="s">
        <v>124</v>
      </c>
      <c r="N22" s="26" t="s">
        <v>125</v>
      </c>
      <c r="O22" s="36"/>
    </row>
    <row r="23" spans="2:15" s="2" customFormat="1" ht="16.95" customHeight="1">
      <c r="B23" s="30" t="s">
        <v>128</v>
      </c>
      <c r="C23" s="85">
        <v>0</v>
      </c>
      <c r="D23" s="34"/>
      <c r="E23" s="34"/>
      <c r="F23" s="33"/>
      <c r="G23" s="34"/>
      <c r="H23" s="33"/>
      <c r="I23" s="34"/>
      <c r="J23" s="34"/>
      <c r="L23" s="30" t="s">
        <v>128</v>
      </c>
      <c r="M23" s="29">
        <v>0</v>
      </c>
      <c r="N23" s="34"/>
      <c r="O23" s="34"/>
    </row>
    <row r="24" spans="2:15" s="2" customFormat="1" ht="16.95" customHeight="1">
      <c r="B24" s="34"/>
      <c r="C24" s="33" t="s">
        <v>7</v>
      </c>
      <c r="D24" s="33" t="s">
        <v>8</v>
      </c>
      <c r="E24" s="33" t="s">
        <v>96</v>
      </c>
      <c r="F24" s="33"/>
      <c r="G24" s="34"/>
      <c r="H24" s="33"/>
      <c r="I24" s="33"/>
      <c r="J24" s="33"/>
      <c r="L24" s="34"/>
      <c r="M24" s="33" t="s">
        <v>7</v>
      </c>
      <c r="N24" s="33" t="s">
        <v>8</v>
      </c>
      <c r="O24" s="33" t="s">
        <v>96</v>
      </c>
    </row>
    <row r="25" spans="2:15" s="2" customFormat="1" ht="16.95" customHeight="1">
      <c r="B25" s="30" t="s">
        <v>79</v>
      </c>
      <c r="C25" s="85">
        <v>0</v>
      </c>
      <c r="D25" s="29" t="s">
        <v>92</v>
      </c>
      <c r="E25" s="30"/>
      <c r="F25" s="33"/>
      <c r="G25" s="34"/>
      <c r="H25" s="33"/>
      <c r="I25" s="33"/>
      <c r="J25" s="34"/>
      <c r="L25" s="30" t="s">
        <v>79</v>
      </c>
      <c r="M25" s="85">
        <v>0</v>
      </c>
      <c r="N25" s="29" t="s">
        <v>92</v>
      </c>
      <c r="O25" s="30"/>
    </row>
    <row r="26" spans="2:15" s="2" customFormat="1" ht="16.95" customHeight="1">
      <c r="B26" s="34" t="s">
        <v>138</v>
      </c>
      <c r="C26" s="33">
        <v>0</v>
      </c>
      <c r="D26" s="33">
        <v>0</v>
      </c>
      <c r="E26" s="33">
        <v>1</v>
      </c>
      <c r="F26" s="33"/>
      <c r="G26" s="34"/>
      <c r="H26" s="33"/>
      <c r="I26" s="33"/>
      <c r="J26" s="33"/>
      <c r="L26" s="34" t="s">
        <v>138</v>
      </c>
      <c r="M26" s="33">
        <v>0</v>
      </c>
      <c r="N26" s="33">
        <v>0</v>
      </c>
      <c r="O26" s="33">
        <v>1</v>
      </c>
    </row>
    <row r="27" spans="2:15" s="2" customFormat="1" ht="16.95" customHeight="1">
      <c r="B27" s="30" t="s">
        <v>80</v>
      </c>
      <c r="C27" s="85">
        <v>0</v>
      </c>
      <c r="D27" s="29" t="s">
        <v>92</v>
      </c>
      <c r="E27" s="30"/>
      <c r="F27" s="33"/>
      <c r="G27" s="34"/>
      <c r="H27" s="33"/>
      <c r="I27" s="33"/>
      <c r="J27" s="34"/>
      <c r="L27" s="30" t="s">
        <v>80</v>
      </c>
      <c r="M27" s="29">
        <v>0</v>
      </c>
      <c r="N27" s="29" t="s">
        <v>92</v>
      </c>
      <c r="O27" s="30"/>
    </row>
    <row r="28" spans="2:15" s="2" customFormat="1" ht="16.95" customHeight="1">
      <c r="B28" s="34" t="s">
        <v>138</v>
      </c>
      <c r="C28" s="33">
        <v>0</v>
      </c>
      <c r="D28" s="33">
        <v>0</v>
      </c>
      <c r="E28" s="33">
        <v>1</v>
      </c>
      <c r="F28" s="33"/>
      <c r="G28" s="34"/>
      <c r="H28" s="33"/>
      <c r="I28" s="33"/>
      <c r="J28" s="33"/>
      <c r="L28" s="34" t="s">
        <v>138</v>
      </c>
      <c r="M28" s="33">
        <v>0</v>
      </c>
      <c r="N28" s="33">
        <v>0</v>
      </c>
      <c r="O28" s="33">
        <v>1</v>
      </c>
    </row>
    <row r="29" spans="2:15" s="2" customFormat="1" ht="16.95" customHeight="1">
      <c r="B29" s="30" t="s">
        <v>81</v>
      </c>
      <c r="C29" s="85">
        <v>0</v>
      </c>
      <c r="D29" s="29" t="s">
        <v>92</v>
      </c>
      <c r="E29" s="30"/>
      <c r="F29" s="33"/>
      <c r="G29" s="34"/>
      <c r="H29" s="33"/>
      <c r="I29" s="33"/>
      <c r="J29" s="34"/>
      <c r="L29" s="30" t="s">
        <v>81</v>
      </c>
      <c r="M29" s="29">
        <v>0</v>
      </c>
      <c r="N29" s="29" t="s">
        <v>92</v>
      </c>
      <c r="O29" s="30"/>
    </row>
    <row r="30" spans="2:15" s="2" customFormat="1" ht="16.95" customHeight="1">
      <c r="B30" s="34" t="s">
        <v>138</v>
      </c>
      <c r="C30" s="33">
        <v>0</v>
      </c>
      <c r="D30" s="33">
        <v>0</v>
      </c>
      <c r="E30" s="33">
        <v>1</v>
      </c>
      <c r="F30" s="33"/>
      <c r="G30" s="34"/>
      <c r="H30" s="33"/>
      <c r="I30" s="33"/>
      <c r="J30" s="33"/>
      <c r="L30" s="34" t="s">
        <v>138</v>
      </c>
      <c r="M30" s="33">
        <v>0</v>
      </c>
      <c r="N30" s="33">
        <v>0</v>
      </c>
      <c r="O30" s="33">
        <v>1</v>
      </c>
    </row>
    <row r="31" spans="2:15" s="2" customFormat="1" ht="16.95" customHeight="1">
      <c r="B31" s="30" t="s">
        <v>93</v>
      </c>
      <c r="C31" s="85">
        <v>0</v>
      </c>
      <c r="D31" s="29" t="s">
        <v>92</v>
      </c>
      <c r="E31" s="30"/>
      <c r="F31" s="33"/>
      <c r="G31" s="34"/>
      <c r="H31" s="33"/>
      <c r="I31" s="33"/>
      <c r="J31" s="34"/>
      <c r="L31" s="30" t="s">
        <v>93</v>
      </c>
      <c r="M31" s="29">
        <v>0</v>
      </c>
      <c r="N31" s="29" t="s">
        <v>92</v>
      </c>
      <c r="O31" s="30"/>
    </row>
    <row r="32" spans="2:15" s="2" customFormat="1" ht="16.95" customHeight="1">
      <c r="B32" s="34" t="s">
        <v>138</v>
      </c>
      <c r="C32" s="33">
        <v>0</v>
      </c>
      <c r="D32" s="33">
        <v>0</v>
      </c>
      <c r="E32" s="33">
        <v>1</v>
      </c>
      <c r="F32" s="33"/>
      <c r="G32" s="34"/>
      <c r="H32" s="33"/>
      <c r="I32" s="33"/>
      <c r="J32" s="33"/>
      <c r="L32" s="34" t="s">
        <v>138</v>
      </c>
      <c r="M32" s="33">
        <v>0</v>
      </c>
      <c r="N32" s="33">
        <v>0</v>
      </c>
      <c r="O32" s="33">
        <v>1</v>
      </c>
    </row>
    <row r="33" spans="2:15" s="2" customFormat="1" ht="16.95" customHeight="1">
      <c r="B33" s="30"/>
      <c r="C33" s="30"/>
      <c r="D33" s="30"/>
      <c r="E33" s="30"/>
      <c r="F33" s="33"/>
      <c r="G33" s="34"/>
      <c r="H33" s="34"/>
      <c r="I33" s="34"/>
      <c r="J33" s="34"/>
      <c r="L33" s="30"/>
      <c r="M33" s="30"/>
      <c r="N33" s="30"/>
      <c r="O33" s="30"/>
    </row>
  </sheetData>
  <mergeCells count="4">
    <mergeCell ref="B2:J2"/>
    <mergeCell ref="B6:D6"/>
    <mergeCell ref="G6:I6"/>
    <mergeCell ref="L6:N6"/>
  </mergeCells>
  <dataValidations count="15">
    <dataValidation type="list" allowBlank="1" showInputMessage="1" showErrorMessage="1" sqref="C31 M29 M27 M25 M31 M15:M16 C15:C16 C19 C29 C27 C25">
      <formula1>"0, Có"</formula1>
    </dataValidation>
    <dataValidation type="list" allowBlank="1" showInputMessage="1" showErrorMessage="1" sqref="C11 M11">
      <formula1>"1x1,1x2,1x2 Ngang,1x3,1x3 Ngang,2x2,2x3,2x3 Ngang,2x4,2x4 Ngang,3x3,3x4,3x4 Ngang"</formula1>
    </dataValidation>
    <dataValidation type="list" allowBlank="1" showInputMessage="1" showErrorMessage="1" sqref="C12 M12">
      <formula1>"6,5,4,3,2,1,0"</formula1>
    </dataValidation>
    <dataValidation type="list" allowBlank="1" showInputMessage="1" showErrorMessage="1" sqref="C14 M14">
      <formula1>"0, Bạc, Bạc Prime, Vàng, Vàng Prime"</formula1>
    </dataValidation>
    <dataValidation type="list" allowBlank="1" showInputMessage="1" showErrorMessage="1" sqref="D31 N29 N27 N25 N31 D29 D27 D25">
      <formula1>"1 Mặt, 2 Mặt"</formula1>
    </dataValidation>
    <dataValidation type="list" allowBlank="1" showInputMessage="1" showErrorMessage="1" sqref="C23 M23">
      <formula1>"0, Bóng, Cát"</formula1>
    </dataValidation>
    <dataValidation type="list" allowBlank="1" showInputMessage="1" sqref="C13 M9 M13 C9">
      <formula1>Chat_lieu</formula1>
    </dataValidation>
    <dataValidation type="list" allowBlank="1" showInputMessage="1" showErrorMessage="1" sqref="C10 M10">
      <formula1>"Mờ, Bóng, Đặc Biệt, 0"</formula1>
    </dataValidation>
    <dataValidation type="list" allowBlank="1" showInputMessage="1" showErrorMessage="1" sqref="C18">
      <formula1>"0,1,2,3,4"</formula1>
    </dataValidation>
    <dataValidation type="list" allowBlank="1" showInputMessage="1" showErrorMessage="1" sqref="C17">
      <formula1>"0, Dù, Tơ bóng, Lụa"</formula1>
    </dataValidation>
    <dataValidation type="decimal" allowBlank="1" showInputMessage="1" showErrorMessage="1" sqref="O8">
      <formula1>0</formula1>
      <formula2>2</formula2>
    </dataValidation>
    <dataValidation type="list" allowBlank="1" showInputMessage="1" showErrorMessage="1" sqref="L8">
      <formula1>"Không, Có"</formula1>
    </dataValidation>
    <dataValidation type="list" allowBlank="1" showInputMessage="1" showErrorMessage="1" sqref="L7">
      <formula1>"Không Khay, Có Khay"</formula1>
    </dataValidation>
    <dataValidation type="decimal" allowBlank="1" showInputMessage="1" showErrorMessage="1" error="Giá trị trong khoảng: 0.5 - 2cm" sqref="E8">
      <formula1>0.5</formula1>
      <formula2>2</formula2>
    </dataValidation>
    <dataValidation type="list" allowBlank="1" showInputMessage="1" showErrorMessage="1" sqref="M19">
      <formula1>"0, Nhung, Vải"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D54"/>
  <sheetViews>
    <sheetView zoomScale="80" zoomScaleNormal="80" workbookViewId="0">
      <selection activeCell="D57" sqref="D57"/>
    </sheetView>
  </sheetViews>
  <sheetFormatPr defaultRowHeight="14.4"/>
  <cols>
    <col min="2" max="2" width="13.33203125" customWidth="1"/>
  </cols>
  <sheetData>
    <row r="1" spans="1:4">
      <c r="B1" t="s">
        <v>11</v>
      </c>
    </row>
    <row r="2" spans="1:4">
      <c r="A2" t="s">
        <v>29</v>
      </c>
      <c r="B2" t="s">
        <v>28</v>
      </c>
      <c r="C2" t="s">
        <v>65</v>
      </c>
      <c r="D2" t="s">
        <v>30</v>
      </c>
    </row>
    <row r="3" spans="1:4">
      <c r="B3" t="s">
        <v>12</v>
      </c>
      <c r="C3">
        <v>80</v>
      </c>
      <c r="D3">
        <v>23.6</v>
      </c>
    </row>
    <row r="4" spans="1:4">
      <c r="B4" t="s">
        <v>13</v>
      </c>
      <c r="C4">
        <v>100</v>
      </c>
      <c r="D4" s="7">
        <v>21.8</v>
      </c>
    </row>
    <row r="5" spans="1:4">
      <c r="B5" t="s">
        <v>14</v>
      </c>
      <c r="C5">
        <v>120</v>
      </c>
      <c r="D5">
        <f>D4</f>
        <v>21.8</v>
      </c>
    </row>
    <row r="6" spans="1:4">
      <c r="B6" t="s">
        <v>15</v>
      </c>
      <c r="C6">
        <v>140</v>
      </c>
      <c r="D6">
        <f>D4</f>
        <v>21.8</v>
      </c>
    </row>
    <row r="7" spans="1:4">
      <c r="B7" t="s">
        <v>46</v>
      </c>
      <c r="C7">
        <v>150</v>
      </c>
      <c r="D7">
        <f>D4</f>
        <v>21.8</v>
      </c>
    </row>
    <row r="8" spans="1:4">
      <c r="B8" t="s">
        <v>16</v>
      </c>
      <c r="C8">
        <v>180</v>
      </c>
      <c r="D8">
        <f>D4</f>
        <v>21.8</v>
      </c>
    </row>
    <row r="9" spans="1:4">
      <c r="B9" t="s">
        <v>17</v>
      </c>
      <c r="C9">
        <v>200</v>
      </c>
      <c r="D9">
        <f>D4</f>
        <v>21.8</v>
      </c>
    </row>
    <row r="10" spans="1:4">
      <c r="B10" t="s">
        <v>18</v>
      </c>
      <c r="C10">
        <v>230</v>
      </c>
      <c r="D10">
        <f>D4</f>
        <v>21.8</v>
      </c>
    </row>
    <row r="11" spans="1:4">
      <c r="B11" t="s">
        <v>19</v>
      </c>
      <c r="C11">
        <v>250</v>
      </c>
      <c r="D11">
        <f>D4</f>
        <v>21.8</v>
      </c>
    </row>
    <row r="12" spans="1:4">
      <c r="B12" t="s">
        <v>20</v>
      </c>
      <c r="C12">
        <v>300</v>
      </c>
      <c r="D12">
        <f>D4</f>
        <v>21.8</v>
      </c>
    </row>
    <row r="13" spans="1:4">
      <c r="B13" t="s">
        <v>44</v>
      </c>
      <c r="C13">
        <v>300</v>
      </c>
      <c r="D13" s="7">
        <v>24.3</v>
      </c>
    </row>
    <row r="14" spans="1:4">
      <c r="B14" t="s">
        <v>43</v>
      </c>
      <c r="C14">
        <v>350</v>
      </c>
      <c r="D14">
        <f>D13</f>
        <v>24.3</v>
      </c>
    </row>
    <row r="15" spans="1:4" s="62" customFormat="1">
      <c r="B15" s="62" t="s">
        <v>160</v>
      </c>
      <c r="D15" s="3">
        <v>11350</v>
      </c>
    </row>
    <row r="16" spans="1:4" s="62" customFormat="1">
      <c r="B16" s="62" t="s">
        <v>183</v>
      </c>
      <c r="D16" s="3">
        <v>11776</v>
      </c>
    </row>
    <row r="17" spans="2:4" s="62" customFormat="1">
      <c r="B17" s="62" t="s">
        <v>155</v>
      </c>
      <c r="D17" s="3">
        <v>13552</v>
      </c>
    </row>
    <row r="18" spans="2:4" s="62" customFormat="1">
      <c r="B18" s="62" t="s">
        <v>185</v>
      </c>
      <c r="D18" s="3">
        <v>16188</v>
      </c>
    </row>
    <row r="19" spans="2:4" s="62" customFormat="1">
      <c r="B19" s="62" t="s">
        <v>156</v>
      </c>
      <c r="D19" s="3">
        <v>14729</v>
      </c>
    </row>
    <row r="20" spans="2:4" s="62" customFormat="1">
      <c r="B20" s="62" t="s">
        <v>186</v>
      </c>
      <c r="D20" s="3">
        <v>16629</v>
      </c>
    </row>
    <row r="21" spans="2:4" s="62" customFormat="1">
      <c r="B21" s="62" t="s">
        <v>157</v>
      </c>
      <c r="D21" s="3">
        <v>15905</v>
      </c>
    </row>
    <row r="22" spans="2:4" s="62" customFormat="1">
      <c r="B22" s="62" t="s">
        <v>187</v>
      </c>
      <c r="D22" s="3">
        <v>19115</v>
      </c>
    </row>
    <row r="23" spans="2:4" s="62" customFormat="1">
      <c r="B23" s="62" t="s">
        <v>158</v>
      </c>
      <c r="D23" s="3">
        <v>17945</v>
      </c>
    </row>
    <row r="24" spans="2:4" s="62" customFormat="1">
      <c r="B24" s="62" t="s">
        <v>188</v>
      </c>
      <c r="D24" s="3">
        <v>19666</v>
      </c>
    </row>
    <row r="25" spans="2:4" s="62" customFormat="1">
      <c r="B25" s="62" t="s">
        <v>184</v>
      </c>
      <c r="D25" s="3">
        <v>20913</v>
      </c>
    </row>
    <row r="26" spans="2:4" s="62" customFormat="1">
      <c r="B26" s="62" t="s">
        <v>159</v>
      </c>
      <c r="D26" s="3">
        <v>21337</v>
      </c>
    </row>
    <row r="27" spans="2:4">
      <c r="B27" t="s">
        <v>21</v>
      </c>
      <c r="C27">
        <v>210</v>
      </c>
      <c r="D27">
        <v>18.2</v>
      </c>
    </row>
    <row r="28" spans="2:4">
      <c r="B28" t="s">
        <v>22</v>
      </c>
      <c r="C28">
        <v>230</v>
      </c>
      <c r="D28" s="7">
        <v>17.399999999999999</v>
      </c>
    </row>
    <row r="29" spans="2:4">
      <c r="B29" t="s">
        <v>23</v>
      </c>
      <c r="C29">
        <v>250</v>
      </c>
      <c r="D29">
        <f>D28</f>
        <v>17.399999999999999</v>
      </c>
    </row>
    <row r="30" spans="2:4">
      <c r="B30" t="s">
        <v>24</v>
      </c>
      <c r="C30">
        <v>280</v>
      </c>
      <c r="D30">
        <f>D28</f>
        <v>17.399999999999999</v>
      </c>
    </row>
    <row r="31" spans="2:4">
      <c r="B31" t="s">
        <v>25</v>
      </c>
      <c r="C31">
        <v>300</v>
      </c>
      <c r="D31">
        <f>D28</f>
        <v>17.399999999999999</v>
      </c>
    </row>
    <row r="32" spans="2:4">
      <c r="B32" t="s">
        <v>26</v>
      </c>
      <c r="C32">
        <v>350</v>
      </c>
      <c r="D32">
        <f>D28</f>
        <v>17.399999999999999</v>
      </c>
    </row>
    <row r="33" spans="2:4">
      <c r="B33" t="s">
        <v>27</v>
      </c>
      <c r="C33">
        <v>400</v>
      </c>
      <c r="D33">
        <f>D28</f>
        <v>17.399999999999999</v>
      </c>
    </row>
    <row r="34" spans="2:4">
      <c r="B34" t="s">
        <v>31</v>
      </c>
      <c r="C34">
        <v>250</v>
      </c>
      <c r="D34" s="7">
        <v>16.5</v>
      </c>
    </row>
    <row r="35" spans="2:4">
      <c r="B35" t="s">
        <v>32</v>
      </c>
      <c r="C35">
        <v>300</v>
      </c>
      <c r="D35">
        <v>15.5</v>
      </c>
    </row>
    <row r="36" spans="2:4">
      <c r="B36" t="s">
        <v>33</v>
      </c>
      <c r="C36">
        <v>350</v>
      </c>
      <c r="D36" s="7">
        <v>15.2</v>
      </c>
    </row>
    <row r="37" spans="2:4">
      <c r="B37" t="s">
        <v>34</v>
      </c>
      <c r="C37">
        <v>400</v>
      </c>
      <c r="D37">
        <f>D36</f>
        <v>15.2</v>
      </c>
    </row>
    <row r="38" spans="2:4">
      <c r="B38" t="s">
        <v>37</v>
      </c>
      <c r="C38">
        <v>70</v>
      </c>
      <c r="D38" s="7">
        <v>22</v>
      </c>
    </row>
    <row r="39" spans="2:4">
      <c r="B39" t="s">
        <v>35</v>
      </c>
      <c r="C39">
        <v>80</v>
      </c>
      <c r="D39">
        <f>D38</f>
        <v>22</v>
      </c>
    </row>
    <row r="40" spans="2:4">
      <c r="B40" t="s">
        <v>36</v>
      </c>
      <c r="C40">
        <v>100</v>
      </c>
      <c r="D40">
        <f>D38</f>
        <v>22</v>
      </c>
    </row>
    <row r="41" spans="2:4">
      <c r="B41" t="s">
        <v>38</v>
      </c>
      <c r="C41">
        <v>120</v>
      </c>
      <c r="D41">
        <f>D38</f>
        <v>22</v>
      </c>
    </row>
    <row r="42" spans="2:4">
      <c r="B42" t="s">
        <v>39</v>
      </c>
      <c r="C42">
        <v>140</v>
      </c>
      <c r="D42">
        <f>D38</f>
        <v>22</v>
      </c>
    </row>
    <row r="43" spans="2:4">
      <c r="B43" t="s">
        <v>40</v>
      </c>
      <c r="C43">
        <v>150</v>
      </c>
      <c r="D43">
        <f>D38</f>
        <v>22</v>
      </c>
    </row>
    <row r="44" spans="2:4">
      <c r="B44" t="s">
        <v>47</v>
      </c>
      <c r="C44">
        <v>180</v>
      </c>
      <c r="D44">
        <v>25</v>
      </c>
    </row>
    <row r="45" spans="2:4">
      <c r="B45" t="s">
        <v>41</v>
      </c>
      <c r="C45">
        <v>200</v>
      </c>
      <c r="D45" s="7">
        <v>28.7</v>
      </c>
    </row>
    <row r="46" spans="2:4">
      <c r="B46" t="s">
        <v>42</v>
      </c>
      <c r="C46">
        <v>250</v>
      </c>
      <c r="D46">
        <f>D45</f>
        <v>28.7</v>
      </c>
    </row>
    <row r="47" spans="2:4">
      <c r="B47" t="s">
        <v>45</v>
      </c>
      <c r="C47">
        <v>120</v>
      </c>
      <c r="D47">
        <v>32.5</v>
      </c>
    </row>
    <row r="48" spans="2:4">
      <c r="B48" t="s">
        <v>100</v>
      </c>
      <c r="C48">
        <v>170</v>
      </c>
      <c r="D48" s="7">
        <v>17</v>
      </c>
    </row>
    <row r="49" spans="2:4">
      <c r="B49" t="s">
        <v>101</v>
      </c>
      <c r="C49">
        <v>250</v>
      </c>
      <c r="D49">
        <f>D48</f>
        <v>17</v>
      </c>
    </row>
    <row r="50" spans="2:4">
      <c r="B50" t="s">
        <v>117</v>
      </c>
      <c r="C50">
        <v>0</v>
      </c>
      <c r="D50">
        <v>0</v>
      </c>
    </row>
    <row r="51" spans="2:4">
      <c r="B51" t="s">
        <v>110</v>
      </c>
      <c r="C51">
        <v>1</v>
      </c>
      <c r="D51" s="3">
        <v>3800</v>
      </c>
    </row>
    <row r="52" spans="2:4">
      <c r="B52" t="s">
        <v>111</v>
      </c>
      <c r="C52">
        <v>1</v>
      </c>
      <c r="D52" s="3">
        <v>5000</v>
      </c>
    </row>
    <row r="53" spans="2:4">
      <c r="B53" t="s">
        <v>112</v>
      </c>
      <c r="C53">
        <v>1</v>
      </c>
      <c r="D53" s="3">
        <v>4400</v>
      </c>
    </row>
    <row r="54" spans="2:4">
      <c r="B54" t="s">
        <v>113</v>
      </c>
      <c r="C54">
        <v>1</v>
      </c>
      <c r="D54" s="3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 - Hộp Sóng Nắp Cài Pizza</vt:lpstr>
      <vt:lpstr>Bảng tính giá Tổng hợp</vt:lpstr>
      <vt:lpstr>Bảng giá giấy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Minh Hoang</cp:lastModifiedBy>
  <dcterms:created xsi:type="dcterms:W3CDTF">2017-12-05T01:47:47Z</dcterms:created>
  <dcterms:modified xsi:type="dcterms:W3CDTF">2025-11-18T01:36:08Z</dcterms:modified>
</cp:coreProperties>
</file>